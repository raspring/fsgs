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obertspringett/django_projects/FSGS/"/>
    </mc:Choice>
  </mc:AlternateContent>
  <xr:revisionPtr revIDLastSave="0" documentId="13_ncr:1_{3722939C-E4E8-EB42-8A3B-2C586055441C}" xr6:coauthVersionLast="47" xr6:coauthVersionMax="47" xr10:uidLastSave="{00000000-0000-0000-0000-000000000000}"/>
  <bookViews>
    <workbookView xWindow="5920" yWindow="500" windowWidth="27240" windowHeight="15640" activeTab="9" xr2:uid="{CAE38209-C843-A444-A79B-253D42BBC669}"/>
  </bookViews>
  <sheets>
    <sheet name="Model" sheetId="4" r:id="rId1"/>
    <sheet name="Steps" sheetId="8" r:id="rId2"/>
    <sheet name="league_seasons" sheetId="9" r:id="rId3"/>
    <sheet name="league_events" sheetId="2" r:id="rId4"/>
    <sheet name="league_players" sheetId="1" r:id="rId5"/>
    <sheet name="initial_handicaps" sheetId="5" r:id="rId6"/>
    <sheet name="EventPlayer" sheetId="6" r:id="rId7"/>
    <sheet name="Played_Round" sheetId="3" r:id="rId8"/>
    <sheet name="may" sheetId="10" r:id="rId9"/>
    <sheet name="april" sheetId="11" r:id="rId10"/>
  </sheets>
  <externalReferences>
    <externalReference r:id="rId11"/>
  </externalReferences>
  <definedNames>
    <definedName name="_xlnm._FilterDatabase" localSheetId="3" hidden="1">league_events!$A$1:$E$1</definedName>
    <definedName name="_xlnm._FilterDatabase" localSheetId="8" hidden="1">may!$A$1:$J$39</definedName>
    <definedName name="_xlnm._FilterDatabase" localSheetId="7" hidden="1">Played_Round!$A$1:$K$250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1" l="1"/>
  <c r="M18" i="11"/>
  <c r="M17" i="11"/>
  <c r="M16" i="11"/>
  <c r="M15" i="11"/>
  <c r="M14" i="11"/>
  <c r="M13" i="11"/>
  <c r="B13" i="11"/>
  <c r="M12" i="11"/>
  <c r="B12" i="11"/>
  <c r="M11" i="11"/>
  <c r="B11" i="11"/>
  <c r="M10" i="11"/>
  <c r="B10" i="11"/>
  <c r="M9" i="11"/>
  <c r="B9" i="11"/>
  <c r="M8" i="11"/>
  <c r="B8" i="11"/>
  <c r="M7" i="11"/>
  <c r="B7" i="11"/>
  <c r="M6" i="11"/>
  <c r="B6" i="11"/>
  <c r="M5" i="11"/>
  <c r="B5" i="11"/>
  <c r="M4" i="11"/>
  <c r="B4" i="11"/>
  <c r="M3" i="11"/>
  <c r="B3" i="11"/>
  <c r="M2" i="11"/>
  <c r="B2" i="11"/>
  <c r="K2" i="10"/>
  <c r="L2" i="10"/>
  <c r="K3" i="10"/>
  <c r="L3" i="10"/>
  <c r="K4" i="10"/>
  <c r="L4" i="10"/>
  <c r="K5" i="10"/>
  <c r="L5" i="10"/>
  <c r="K6" i="10"/>
  <c r="L6" i="10"/>
  <c r="K7" i="10"/>
  <c r="L7" i="10"/>
  <c r="K8" i="10"/>
  <c r="L8" i="10"/>
  <c r="K9" i="10"/>
  <c r="L9" i="10"/>
  <c r="K10" i="10"/>
  <c r="L10" i="10"/>
  <c r="K11" i="10"/>
  <c r="L11" i="10"/>
  <c r="K12" i="10"/>
  <c r="L12" i="10"/>
  <c r="K13" i="10"/>
  <c r="L13" i="10"/>
  <c r="K14" i="10"/>
  <c r="L14" i="10"/>
  <c r="K15" i="10"/>
  <c r="L15" i="10"/>
  <c r="K16" i="10"/>
  <c r="L16" i="10"/>
  <c r="K17" i="10"/>
  <c r="L17" i="10"/>
  <c r="K18" i="10"/>
  <c r="L18" i="10"/>
  <c r="K19" i="10"/>
  <c r="L19" i="10"/>
  <c r="K20" i="10"/>
  <c r="L20" i="10"/>
  <c r="K21" i="10"/>
  <c r="L21" i="10"/>
  <c r="K22" i="10"/>
  <c r="L22" i="10"/>
  <c r="K23" i="10"/>
  <c r="L23" i="10"/>
  <c r="K24" i="10"/>
  <c r="L24" i="10"/>
  <c r="K25" i="10"/>
  <c r="L25" i="10"/>
  <c r="K26" i="10"/>
  <c r="L26" i="10"/>
  <c r="K27" i="10"/>
  <c r="L27" i="10"/>
  <c r="K28" i="10"/>
  <c r="L28" i="10"/>
  <c r="K29" i="10"/>
  <c r="L29" i="10"/>
  <c r="K30" i="10"/>
  <c r="L30" i="10"/>
  <c r="K31" i="10"/>
  <c r="L31" i="10"/>
  <c r="K32" i="10"/>
  <c r="L32" i="10"/>
  <c r="K33" i="10"/>
  <c r="L33" i="10"/>
  <c r="K34" i="10"/>
  <c r="L34" i="10"/>
  <c r="K35" i="10"/>
  <c r="L35" i="10"/>
  <c r="K36" i="10"/>
  <c r="L36" i="10"/>
  <c r="K37" i="10"/>
  <c r="L37" i="10"/>
  <c r="K38" i="10"/>
  <c r="L38" i="10"/>
  <c r="K39" i="10"/>
  <c r="L39" i="10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M2" i="3"/>
  <c r="L2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F17" i="5" l="1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2" i="5"/>
</calcChain>
</file>

<file path=xl/sharedStrings.xml><?xml version="1.0" encoding="utf-8"?>
<sst xmlns="http://schemas.openxmlformats.org/spreadsheetml/2006/main" count="2313" uniqueCount="687">
  <si>
    <t>Name</t>
  </si>
  <si>
    <t>corrected</t>
  </si>
  <si>
    <t>first name</t>
  </si>
  <si>
    <t>last name</t>
  </si>
  <si>
    <t>Ed Mills</t>
  </si>
  <si>
    <t>Edward Mills</t>
  </si>
  <si>
    <t>Mills</t>
  </si>
  <si>
    <t>Eric Sears</t>
  </si>
  <si>
    <t>Sears</t>
  </si>
  <si>
    <t>Erik Sears</t>
  </si>
  <si>
    <t>James Caik</t>
  </si>
  <si>
    <t>James Craik</t>
  </si>
  <si>
    <t>Craik</t>
  </si>
  <si>
    <t>Jonathan Miles</t>
  </si>
  <si>
    <t>Jono Miles</t>
  </si>
  <si>
    <t>Miles</t>
  </si>
  <si>
    <t>Abdel El Ferdi</t>
  </si>
  <si>
    <t>El Ferdi</t>
  </si>
  <si>
    <t>Adam Maccanti</t>
  </si>
  <si>
    <t>Maccanti</t>
  </si>
  <si>
    <t>Adrian Griffiths</t>
  </si>
  <si>
    <t>Griffiths</t>
  </si>
  <si>
    <t>Agneiska SO</t>
  </si>
  <si>
    <t>SO</t>
  </si>
  <si>
    <t>Albert Lim</t>
  </si>
  <si>
    <t>Lim</t>
  </si>
  <si>
    <t>Aleks Piskorz</t>
  </si>
  <si>
    <t>Piskorz</t>
  </si>
  <si>
    <t>Alex Thanopoulos</t>
  </si>
  <si>
    <t>Thanopoulos</t>
  </si>
  <si>
    <t>Alexander Loh</t>
  </si>
  <si>
    <t>Loh</t>
  </si>
  <si>
    <t>Alexander Thorhauge</t>
  </si>
  <si>
    <t>Thorhauge</t>
  </si>
  <si>
    <t>Anand Shekaran</t>
  </si>
  <si>
    <t>Shekaran</t>
  </si>
  <si>
    <t>Andre Gruber</t>
  </si>
  <si>
    <t>Gruber</t>
  </si>
  <si>
    <t>Andrea Sbalchiero</t>
  </si>
  <si>
    <t>Sbalchiero</t>
  </si>
  <si>
    <t>Andrea Vanara</t>
  </si>
  <si>
    <t>Vanara</t>
  </si>
  <si>
    <t>Andrew Stearns</t>
  </si>
  <si>
    <t>Stearns</t>
  </si>
  <si>
    <t>Annabelle Lim</t>
  </si>
  <si>
    <t>Annie Bang</t>
  </si>
  <si>
    <t>Bang</t>
  </si>
  <si>
    <t>Antoine Augustin</t>
  </si>
  <si>
    <t>Augustin</t>
  </si>
  <si>
    <t>Antoine Ducarme</t>
  </si>
  <si>
    <t>Ducarme</t>
  </si>
  <si>
    <t>April Porteous</t>
  </si>
  <si>
    <t>Porteous</t>
  </si>
  <si>
    <t>Arun Chandramouli</t>
  </si>
  <si>
    <t>Chandramouli</t>
  </si>
  <si>
    <t>Ashley Scifleet</t>
  </si>
  <si>
    <t>Scifleet</t>
  </si>
  <si>
    <t>Assaf Tarnopolsky</t>
  </si>
  <si>
    <t>Tarnopolsky</t>
  </si>
  <si>
    <t>Barnaby Dobson</t>
  </si>
  <si>
    <t>Dobson</t>
  </si>
  <si>
    <t>BC Tan</t>
  </si>
  <si>
    <t>Tan</t>
  </si>
  <si>
    <t>Brad Jowers</t>
  </si>
  <si>
    <t>Jowers</t>
  </si>
  <si>
    <t>Brian Brit</t>
  </si>
  <si>
    <t>Brit</t>
  </si>
  <si>
    <t>Carl Granfelt</t>
  </si>
  <si>
    <t>Granfelt</t>
  </si>
  <si>
    <t>Carl Richter</t>
  </si>
  <si>
    <t>Richter</t>
  </si>
  <si>
    <t>Carter Sunwall</t>
  </si>
  <si>
    <t>Sunwall</t>
  </si>
  <si>
    <t>Casey Mee</t>
  </si>
  <si>
    <t>Mee</t>
  </si>
  <si>
    <t>Chris Bezuidenhout </t>
  </si>
  <si>
    <t>Bezuidenhout </t>
  </si>
  <si>
    <t>Chris Dunham</t>
  </si>
  <si>
    <t>Dunham</t>
  </si>
  <si>
    <t>Chris Emslie</t>
  </si>
  <si>
    <t>Emslie</t>
  </si>
  <si>
    <t>Chris Johnson</t>
  </si>
  <si>
    <t>Johnson</t>
  </si>
  <si>
    <t>Chris Kelata</t>
  </si>
  <si>
    <t>Kelata</t>
  </si>
  <si>
    <t>Chris Schneider</t>
  </si>
  <si>
    <t>Schneider</t>
  </si>
  <si>
    <t>Christine Yoong</t>
  </si>
  <si>
    <t>Yoong</t>
  </si>
  <si>
    <t>Christopher Johnson</t>
  </si>
  <si>
    <t>Connie Wong</t>
  </si>
  <si>
    <t>Wong</t>
  </si>
  <si>
    <t>Dan Sleep</t>
  </si>
  <si>
    <t>Sleep</t>
  </si>
  <si>
    <t>Daniel Kennedy</t>
  </si>
  <si>
    <t>Kennedy</t>
  </si>
  <si>
    <t>Daniel Lawrence</t>
  </si>
  <si>
    <t>Lawrence</t>
  </si>
  <si>
    <t>Daniel Leong</t>
  </si>
  <si>
    <t>Leong</t>
  </si>
  <si>
    <t>Darren Lee</t>
  </si>
  <si>
    <t>Lee</t>
  </si>
  <si>
    <t>Darren Measures</t>
  </si>
  <si>
    <t>Measures</t>
  </si>
  <si>
    <t>David Kim</t>
  </si>
  <si>
    <t>Kim</t>
  </si>
  <si>
    <t>David Pan</t>
  </si>
  <si>
    <t>Pan</t>
  </si>
  <si>
    <t>David Welch</t>
  </si>
  <si>
    <t>Welch</t>
  </si>
  <si>
    <t>David Yu</t>
  </si>
  <si>
    <t>Yu</t>
  </si>
  <si>
    <t>Dominic Morrison</t>
  </si>
  <si>
    <t>Morrison</t>
  </si>
  <si>
    <t>Donguk Chung</t>
  </si>
  <si>
    <t>Chung</t>
  </si>
  <si>
    <t>Donough Murphy</t>
  </si>
  <si>
    <t>Murphy</t>
  </si>
  <si>
    <t>Douglas Hudson</t>
  </si>
  <si>
    <t>Hudson</t>
  </si>
  <si>
    <t>Ed Thwaites</t>
  </si>
  <si>
    <t>Thwaites</t>
  </si>
  <si>
    <t>Edgar Tavera</t>
  </si>
  <si>
    <t>Tavera</t>
  </si>
  <si>
    <t>EJ Hwang</t>
  </si>
  <si>
    <t>Hwang</t>
  </si>
  <si>
    <t>Elke Biechele</t>
  </si>
  <si>
    <t>Biechele</t>
  </si>
  <si>
    <t>Florian Dumas</t>
  </si>
  <si>
    <t>Dumas</t>
  </si>
  <si>
    <t>Florian Goupil</t>
  </si>
  <si>
    <t>Goupil</t>
  </si>
  <si>
    <t>Fraser Anderson</t>
  </si>
  <si>
    <t>Anderson</t>
  </si>
  <si>
    <t>Fraser Macdonald</t>
  </si>
  <si>
    <t>Macdonald</t>
  </si>
  <si>
    <t>Garrett Lim</t>
  </si>
  <si>
    <t>Gary Brookes</t>
  </si>
  <si>
    <t>Brookes</t>
  </si>
  <si>
    <t>Gaurav Bhagat</t>
  </si>
  <si>
    <t>Bhagat</t>
  </si>
  <si>
    <t>Geoff Wyatt</t>
  </si>
  <si>
    <t>Wyatt</t>
  </si>
  <si>
    <t>George Hindmarsh</t>
  </si>
  <si>
    <t>Hindmarsh</t>
  </si>
  <si>
    <t>Goh Ying</t>
  </si>
  <si>
    <t>Ying</t>
  </si>
  <si>
    <t>Govind Chowdhery</t>
  </si>
  <si>
    <t>Chowdhery</t>
  </si>
  <si>
    <t>Graham Isherwood</t>
  </si>
  <si>
    <t>Isherwood</t>
  </si>
  <si>
    <t>Grant Bowman</t>
  </si>
  <si>
    <t>Bowman</t>
  </si>
  <si>
    <t>Grant Dawson</t>
  </si>
  <si>
    <t>Dawson</t>
  </si>
  <si>
    <t>Greg Atherstone</t>
  </si>
  <si>
    <t>Atherstone</t>
  </si>
  <si>
    <t>Guillaume Augustin</t>
  </si>
  <si>
    <t>Hiroshi Yamakawa</t>
  </si>
  <si>
    <t>Yamakawa</t>
  </si>
  <si>
    <t>Houl Lee</t>
  </si>
  <si>
    <t>Hugh Baker</t>
  </si>
  <si>
    <t>Baker</t>
  </si>
  <si>
    <t>Ian Bowden</t>
  </si>
  <si>
    <t>Bowden</t>
  </si>
  <si>
    <t>Ian Donald</t>
  </si>
  <si>
    <t>Donald</t>
  </si>
  <si>
    <t>Ian Porteous</t>
  </si>
  <si>
    <t>Isabel Koh</t>
  </si>
  <si>
    <t>Koh</t>
  </si>
  <si>
    <t>Ivy Ng</t>
  </si>
  <si>
    <t>Ng</t>
  </si>
  <si>
    <t>Jack Ellis</t>
  </si>
  <si>
    <t>Ellis</t>
  </si>
  <si>
    <t>James Green</t>
  </si>
  <si>
    <t>Green</t>
  </si>
  <si>
    <t>James Lord</t>
  </si>
  <si>
    <t>Lord</t>
  </si>
  <si>
    <t>Jamie Hunt</t>
  </si>
  <si>
    <t>Hunt</t>
  </si>
  <si>
    <t>Jane You</t>
  </si>
  <si>
    <t>You</t>
  </si>
  <si>
    <t>Jason Pae</t>
  </si>
  <si>
    <t>Pae</t>
  </si>
  <si>
    <t>Jason Ving</t>
  </si>
  <si>
    <t>Ving</t>
  </si>
  <si>
    <t>Jean-Romain Roig</t>
  </si>
  <si>
    <t>Roig</t>
  </si>
  <si>
    <t>Jeannette Chan</t>
  </si>
  <si>
    <t>Chan</t>
  </si>
  <si>
    <t>Jeff Plein</t>
  </si>
  <si>
    <t>Plein</t>
  </si>
  <si>
    <t>Jeong Min Yun</t>
  </si>
  <si>
    <t>Yun</t>
  </si>
  <si>
    <t>Jesher Lim</t>
  </si>
  <si>
    <t>John Heming</t>
  </si>
  <si>
    <t>Heming</t>
  </si>
  <si>
    <t>John Layburn</t>
  </si>
  <si>
    <t>Layburn</t>
  </si>
  <si>
    <t>John Ong</t>
  </si>
  <si>
    <t>Ong</t>
  </si>
  <si>
    <t>Jon Gilpin</t>
  </si>
  <si>
    <t>Gilpin</t>
  </si>
  <si>
    <t>Jonathan Woodward</t>
  </si>
  <si>
    <t>Woodward</t>
  </si>
  <si>
    <t>Jonny Owens</t>
  </si>
  <si>
    <t>Owens</t>
  </si>
  <si>
    <t>Jonty Richardson</t>
  </si>
  <si>
    <t>Richardson</t>
  </si>
  <si>
    <t>Julien Blain</t>
  </si>
  <si>
    <t>Blain</t>
  </si>
  <si>
    <t>Justin McCarthy</t>
  </si>
  <si>
    <t>McCarthy</t>
  </si>
  <si>
    <t>Justin Morrison</t>
  </si>
  <si>
    <t>Kamal Ridzam</t>
  </si>
  <si>
    <t>Ridzam</t>
  </si>
  <si>
    <t>Karl Cowman</t>
  </si>
  <si>
    <t>Cowman</t>
  </si>
  <si>
    <t>Kaz Naoki</t>
  </si>
  <si>
    <t>Naoki</t>
  </si>
  <si>
    <t>Kelly-Ann Mchugh</t>
  </si>
  <si>
    <t>Mchugh</t>
  </si>
  <si>
    <t>Kelvin Foo</t>
  </si>
  <si>
    <t>Foo</t>
  </si>
  <si>
    <t>Kenichiro Matsuoka</t>
  </si>
  <si>
    <t>Matsuoka</t>
  </si>
  <si>
    <t>Kenneth Cheung</t>
  </si>
  <si>
    <t>Cheung</t>
  </si>
  <si>
    <t>Kevin Foy</t>
  </si>
  <si>
    <t>Foy</t>
  </si>
  <si>
    <t>Kinsey Cotton</t>
  </si>
  <si>
    <t>Cotton</t>
  </si>
  <si>
    <t>Kotaro Honda</t>
  </si>
  <si>
    <t>Honda</t>
  </si>
  <si>
    <t>Kunio Sakaide</t>
  </si>
  <si>
    <t>Sakaide</t>
  </si>
  <si>
    <t>Laura Ryan</t>
  </si>
  <si>
    <t>Ryan</t>
  </si>
  <si>
    <t>Lee Houl</t>
  </si>
  <si>
    <t>Houl</t>
  </si>
  <si>
    <t>Louis Davis</t>
  </si>
  <si>
    <t>Davis</t>
  </si>
  <si>
    <t>Luke Boland</t>
  </si>
  <si>
    <t>Boland</t>
  </si>
  <si>
    <t>Luke Moffat</t>
  </si>
  <si>
    <t>Moffat</t>
  </si>
  <si>
    <t>Madeleine Vinuya</t>
  </si>
  <si>
    <t>Vinuya</t>
  </si>
  <si>
    <t>Marc Westgate</t>
  </si>
  <si>
    <t>Westgate</t>
  </si>
  <si>
    <t>Marco Attilio</t>
  </si>
  <si>
    <t>Attilio</t>
  </si>
  <si>
    <t>Martin Hrastic</t>
  </si>
  <si>
    <t>Hrastic</t>
  </si>
  <si>
    <t>Martin Tan</t>
  </si>
  <si>
    <t>Matt Donovan</t>
  </si>
  <si>
    <t>Donovan</t>
  </si>
  <si>
    <t>Matt Komatsu</t>
  </si>
  <si>
    <t>Komatsu</t>
  </si>
  <si>
    <t>Matthew Freilich</t>
  </si>
  <si>
    <t>Freilich</t>
  </si>
  <si>
    <t>Matthew Wardell</t>
  </si>
  <si>
    <t>Wardell</t>
  </si>
  <si>
    <t>Maverick Wong</t>
  </si>
  <si>
    <t>MeiZhen Wang</t>
  </si>
  <si>
    <t>Wang</t>
  </si>
  <si>
    <t>Michael Gallagher</t>
  </si>
  <si>
    <t>Gallagher</t>
  </si>
  <si>
    <t>Mike Pareles</t>
  </si>
  <si>
    <t>Pareles</t>
  </si>
  <si>
    <t>Miten Amin</t>
  </si>
  <si>
    <t>Amin</t>
  </si>
  <si>
    <t>Neelay Patel</t>
  </si>
  <si>
    <t>Patel</t>
  </si>
  <si>
    <t>Nic Kopitsis</t>
  </si>
  <si>
    <t>Kopitsis</t>
  </si>
  <si>
    <t>Nicholas Stipp</t>
  </si>
  <si>
    <t>Stipp</t>
  </si>
  <si>
    <t>Nick Pelling</t>
  </si>
  <si>
    <t>Pelling</t>
  </si>
  <si>
    <t>Nick Waite</t>
  </si>
  <si>
    <t>Waite</t>
  </si>
  <si>
    <t>Oli Hinchliffe</t>
  </si>
  <si>
    <t>Hinchliffe</t>
  </si>
  <si>
    <t>Osama Qazi</t>
  </si>
  <si>
    <t>Qazi</t>
  </si>
  <si>
    <t>Patrice Magret Delord</t>
  </si>
  <si>
    <t>Magret Delord</t>
  </si>
  <si>
    <t>Patrick Tyson</t>
  </si>
  <si>
    <t>Tyson</t>
  </si>
  <si>
    <t>Paul Debourdeau</t>
  </si>
  <si>
    <t>Debourdeau</t>
  </si>
  <si>
    <t>Paul Gray</t>
  </si>
  <si>
    <t>Gray</t>
  </si>
  <si>
    <t>Peter Ang Nielsen</t>
  </si>
  <si>
    <t>Ang Nielsen</t>
  </si>
  <si>
    <t>Peter Hipolito</t>
  </si>
  <si>
    <t>Hipolito</t>
  </si>
  <si>
    <t>Peter Yung-Hok</t>
  </si>
  <si>
    <t>Yung-Hok</t>
  </si>
  <si>
    <t>Phil Eden</t>
  </si>
  <si>
    <t>Eden</t>
  </si>
  <si>
    <t>Phillip Van Dine</t>
  </si>
  <si>
    <t>Van Dine</t>
  </si>
  <si>
    <t>Pierre Momin</t>
  </si>
  <si>
    <t>Momin</t>
  </si>
  <si>
    <t>Piers Hughes</t>
  </si>
  <si>
    <t>Hughes</t>
  </si>
  <si>
    <t>Qian Ying Goh</t>
  </si>
  <si>
    <t>Ying Goh</t>
  </si>
  <si>
    <t>Rana Datta</t>
  </si>
  <si>
    <t>Datta</t>
  </si>
  <si>
    <t>Remco Schenk</t>
  </si>
  <si>
    <t>Schenk</t>
  </si>
  <si>
    <t>Richard Abrahams</t>
  </si>
  <si>
    <t>Abrahams</t>
  </si>
  <si>
    <t>Richard Carrick</t>
  </si>
  <si>
    <t>Carrick</t>
  </si>
  <si>
    <t>Richard Cogswell</t>
  </si>
  <si>
    <t>Cogswell</t>
  </si>
  <si>
    <t>Rick Browne</t>
  </si>
  <si>
    <t>Browne</t>
  </si>
  <si>
    <t>Rob Springett</t>
  </si>
  <si>
    <t>Springett</t>
  </si>
  <si>
    <t>Robert Jan Dettmeijer</t>
  </si>
  <si>
    <t>Jan Dettmeijer</t>
  </si>
  <si>
    <t>Russ Lee</t>
  </si>
  <si>
    <t>Ryan Neebe</t>
  </si>
  <si>
    <t>Neebe</t>
  </si>
  <si>
    <t>Sam Williams</t>
  </si>
  <si>
    <t>Williams</t>
  </si>
  <si>
    <t>Sammy Elazab</t>
  </si>
  <si>
    <t>Elazab</t>
  </si>
  <si>
    <t>Scott Charlton</t>
  </si>
  <si>
    <t>Charlton</t>
  </si>
  <si>
    <t>Sean McDermott</t>
  </si>
  <si>
    <t>McDermott</t>
  </si>
  <si>
    <t>Shane Flaherty</t>
  </si>
  <si>
    <t>Flaherty</t>
  </si>
  <si>
    <t>Shishir Prasad</t>
  </si>
  <si>
    <t>Prasad</t>
  </si>
  <si>
    <t>Shu Liu</t>
  </si>
  <si>
    <t>Liu</t>
  </si>
  <si>
    <t>Shu Niwa</t>
  </si>
  <si>
    <t>Niwa</t>
  </si>
  <si>
    <t>Simon Eglise</t>
  </si>
  <si>
    <t>Eglise</t>
  </si>
  <si>
    <t>Simon Jones</t>
  </si>
  <si>
    <t>Jones</t>
  </si>
  <si>
    <t>Simon Lloyd</t>
  </si>
  <si>
    <t>Lloyd</t>
  </si>
  <si>
    <t>Simon Porter</t>
  </si>
  <si>
    <t>Porter</t>
  </si>
  <si>
    <t>Simon Scott</t>
  </si>
  <si>
    <t>Scott</t>
  </si>
  <si>
    <t>Simon Van Dijk</t>
  </si>
  <si>
    <t>Van Dijk</t>
  </si>
  <si>
    <t>Simon Ward</t>
  </si>
  <si>
    <t>Ward</t>
  </si>
  <si>
    <t>Sing Chan Ng</t>
  </si>
  <si>
    <t>Chan Ng</t>
  </si>
  <si>
    <t>Sophie Yeung</t>
  </si>
  <si>
    <t>Yeung</t>
  </si>
  <si>
    <t>Stephen Woodrow</t>
  </si>
  <si>
    <t>Woodrow</t>
  </si>
  <si>
    <t>Steve Masternak</t>
  </si>
  <si>
    <t>Masternak</t>
  </si>
  <si>
    <t>Steve McCole</t>
  </si>
  <si>
    <t>McCole</t>
  </si>
  <si>
    <t>Steve Settle</t>
  </si>
  <si>
    <t>Settle</t>
  </si>
  <si>
    <t>Struan Lloyd</t>
  </si>
  <si>
    <t>Stuart Andrew</t>
  </si>
  <si>
    <t>Andrew</t>
  </si>
  <si>
    <t>Stuart Knowling</t>
  </si>
  <si>
    <t>Knowling</t>
  </si>
  <si>
    <t>Sue Ann Lim</t>
  </si>
  <si>
    <t>Sue Ann</t>
  </si>
  <si>
    <t>Tao Lin</t>
  </si>
  <si>
    <t>Lin</t>
  </si>
  <si>
    <t>Thomas Hind</t>
  </si>
  <si>
    <t>Hind</t>
  </si>
  <si>
    <t>Toby Michelmore</t>
  </si>
  <si>
    <t>Michelmore</t>
  </si>
  <si>
    <t>Tom Gooding</t>
  </si>
  <si>
    <t>Gooding</t>
  </si>
  <si>
    <t>Tom Stephens</t>
  </si>
  <si>
    <t>Stephens</t>
  </si>
  <si>
    <t>Tom Sullivan</t>
  </si>
  <si>
    <t>Sullivan</t>
  </si>
  <si>
    <t>Vincent Banton</t>
  </si>
  <si>
    <t>Banton</t>
  </si>
  <si>
    <t>Vincent Tay</t>
  </si>
  <si>
    <t>Tay</t>
  </si>
  <si>
    <t>Vishal Achar</t>
  </si>
  <si>
    <t>Achar</t>
  </si>
  <si>
    <t>Wes Steinman</t>
  </si>
  <si>
    <t>Steinman</t>
  </si>
  <si>
    <t>William Lu</t>
  </si>
  <si>
    <t>Lu</t>
  </si>
  <si>
    <t>William Nicholls</t>
  </si>
  <si>
    <t>Nicholls</t>
  </si>
  <si>
    <t>Yang He</t>
  </si>
  <si>
    <t>He</t>
  </si>
  <si>
    <t xml:space="preserve">Yang Kun </t>
  </si>
  <si>
    <t>Kun</t>
  </si>
  <si>
    <t>Yash Wardhan</t>
  </si>
  <si>
    <t>Wardhan</t>
  </si>
  <si>
    <t>Yean Chong</t>
  </si>
  <si>
    <t>Chong</t>
  </si>
  <si>
    <t>Leagueseason</t>
  </si>
  <si>
    <t>event_date</t>
  </si>
  <si>
    <t>event_golf_course</t>
  </si>
  <si>
    <t>Date</t>
  </si>
  <si>
    <t>Keppel Sime</t>
  </si>
  <si>
    <t>Orchid Country Club</t>
  </si>
  <si>
    <t>gender</t>
  </si>
  <si>
    <t>M</t>
  </si>
  <si>
    <t>F</t>
  </si>
  <si>
    <t>golfer</t>
  </si>
  <si>
    <t>event</t>
  </si>
  <si>
    <t>handicap</t>
  </si>
  <si>
    <t>"""String for representing the Model object."""</t>
  </si>
  <si>
    <t>class LeagueSeason(models.Model):</t>
  </si>
  <si>
    <t>name = models.CharField(max_length=200,null=True, blank=True)</t>
  </si>
  <si>
    <t>def __str__(self):</t>
  </si>
  <si>
    <t>return self.name</t>
  </si>
  <si>
    <t>class LeagueEvent(models.Model):</t>
  </si>
  <si>
    <t>leagueseason = models.ForeignKey(LeagueSeason, on_delete=models.RESTRICT)</t>
  </si>
  <si>
    <t>event_date = models.DateField(null=True, blank=True)</t>
  </si>
  <si>
    <t>event_golf_course = models.CharField(max_length=200,null=True, blank=True)</t>
  </si>
  <si>
    <t>event_status = models.CharField(max_length=1,null=True, blank=True, choices=[("N","Not Started"),("C","Completed"),("R","Rainout")])</t>
  </si>
  <si>
    <t>return f'{str(self.event_date) + " " + self.event_golf_course }'</t>
  </si>
  <si>
    <t>class LeaguePlayer(models.Model):</t>
  </si>
  <si>
    <t>first_name = models.CharField(max_length=200,null=True, blank=True)</t>
  </si>
  <si>
    <t>last_name = models.CharField(max_length=200,null=True, blank=True)</t>
  </si>
  <si>
    <t>gender = models.CharField(max_length=1,choices=[("M","Male"),("F","Female")])</t>
  </si>
  <si>
    <t>return f'{self.first_name + " " +self.last_name}'</t>
  </si>
  <si>
    <t>class Handicap(models.Model):</t>
  </si>
  <si>
    <t>golfer = models.ForeignKey(LeaguePlayer, on_delete=models.CASCADE, null=True)</t>
  </si>
  <si>
    <t>handicap = models.DecimalField(max_digits=3,decimal_places=1)</t>
  </si>
  <si>
    <t>timestamp = models.DateTimeField(auto_now_add=True)</t>
  </si>
  <si>
    <t>update_user = models.CharField(max_length=200,null=True, blank=True)</t>
  </si>
  <si>
    <t>update_golf_round = models.ForeignKey(LeagueEvent, on_delete=models.SET_NULL, null=True, blank=True)</t>
  </si>
  <si>
    <t>update_comment = models.CharField(max_length=200,null=True, blank=True)</t>
  </si>
  <si>
    <t>return f'{self.golfer.first_name + " " +self.golfer.last_name + " handicap = " +str(self.handicap)}'</t>
  </si>
  <si>
    <t>class EventPlayer(models.Model):</t>
  </si>
  <si>
    <t>user_id = models.ForeignKey(LeaguePlayer,on_delete=models.RESTRICT)</t>
  </si>
  <si>
    <t>league_event_id = models.ForeignKey(LeagueEvent, on_delete=models.RESTRICT, null=False)</t>
  </si>
  <si>
    <t>new_player = models.BooleanField(default=False)</t>
  </si>
  <si>
    <t>return f'{self.user_id.first_name + " " +self.user_id.last_name}'</t>
  </si>
  <si>
    <t>class PlayedRound(models.Model):</t>
  </si>
  <si>
    <t>golfer = models.ForeignKey(EventPlayer, on_delete=models.SET_NULL, null=True)</t>
  </si>
  <si>
    <t>event = models.ForeignKey(LeagueEvent,on_delete=models.SET_NULL, null=True)</t>
  </si>
  <si>
    <t>handicap = models.ForeignKey(Handicap,on_delete=models.SET_NULL, null=True)</t>
  </si>
  <si>
    <t xml:space="preserve">gross_score = models.IntegerField() </t>
  </si>
  <si>
    <t xml:space="preserve">net_score = models.IntegerField() </t>
  </si>
  <si>
    <t xml:space="preserve">gross_rel_par = models.IntegerField() </t>
  </si>
  <si>
    <t>net_rel_par = models.IntegerField()</t>
  </si>
  <si>
    <t>coconut_pts = models.IntegerField()</t>
  </si>
  <si>
    <t>Simon van Dijk</t>
  </si>
  <si>
    <t>update_user</t>
  </si>
  <si>
    <t>update golf</t>
  </si>
  <si>
    <t>update comment</t>
  </si>
  <si>
    <t>year end 2022 hdcp</t>
  </si>
  <si>
    <t>steps</t>
  </si>
  <si>
    <t>create seasons</t>
  </si>
  <si>
    <t>create events</t>
  </si>
  <si>
    <t>create initial handicaps from 2022</t>
  </si>
  <si>
    <t>past event load</t>
  </si>
  <si>
    <t>5a</t>
  </si>
  <si>
    <t>5b</t>
  </si>
  <si>
    <t>create eventplayer object</t>
  </si>
  <si>
    <t>league_event</t>
  </si>
  <si>
    <t>new_player_flag</t>
  </si>
  <si>
    <t>name</t>
  </si>
  <si>
    <t>new player (yn)</t>
  </si>
  <si>
    <t>5c</t>
  </si>
  <si>
    <t>Hdcp</t>
  </si>
  <si>
    <t>Net score to par</t>
  </si>
  <si>
    <t>Net Score</t>
  </si>
  <si>
    <t>Gross Score</t>
  </si>
  <si>
    <t>Update to handicap</t>
  </si>
  <si>
    <t>New Handicap</t>
  </si>
  <si>
    <t>Coconut Cup Points</t>
  </si>
  <si>
    <t>new player</t>
  </si>
  <si>
    <t>N</t>
  </si>
  <si>
    <t>Y</t>
  </si>
  <si>
    <t>create new handicap object for each player - effective just before event</t>
  </si>
  <si>
    <t>create leagueplayers</t>
  </si>
  <si>
    <t>create playedround object - link to handicap created above and golfer created above</t>
  </si>
  <si>
    <t>create post round handicap object</t>
  </si>
  <si>
    <t>rob springett</t>
  </si>
  <si>
    <t>event_status</t>
  </si>
  <si>
    <t>excel tab</t>
  </si>
  <si>
    <t>event date</t>
  </si>
  <si>
    <t>C</t>
  </si>
  <si>
    <t>done</t>
  </si>
  <si>
    <t>effective_at</t>
  </si>
  <si>
    <t xml:space="preserve">league_player_first name </t>
  </si>
  <si>
    <t>league_player_last_name</t>
  </si>
  <si>
    <t>orig name</t>
  </si>
  <si>
    <t>first_name</t>
  </si>
  <si>
    <t>last_name</t>
  </si>
  <si>
    <t>handicap_eff</t>
  </si>
  <si>
    <t>post_round_eff</t>
  </si>
  <si>
    <t>R</t>
  </si>
  <si>
    <t>Agneiska</t>
  </si>
  <si>
    <t>Edward</t>
  </si>
  <si>
    <t>Eric</t>
  </si>
  <si>
    <t>James</t>
  </si>
  <si>
    <t>Jono</t>
  </si>
  <si>
    <t>Abdel</t>
  </si>
  <si>
    <t>Adam</t>
  </si>
  <si>
    <t>Adrian</t>
  </si>
  <si>
    <t>Albert</t>
  </si>
  <si>
    <t>Aleks</t>
  </si>
  <si>
    <t>Alex</t>
  </si>
  <si>
    <t>Alexander</t>
  </si>
  <si>
    <t>Anand</t>
  </si>
  <si>
    <t>Andre</t>
  </si>
  <si>
    <t>Andrea</t>
  </si>
  <si>
    <t>Annabelle</t>
  </si>
  <si>
    <t>Annie</t>
  </si>
  <si>
    <t>Antoine</t>
  </si>
  <si>
    <t>April</t>
  </si>
  <si>
    <t>Arun</t>
  </si>
  <si>
    <t>Ashley</t>
  </si>
  <si>
    <t>Assaf</t>
  </si>
  <si>
    <t>Barnaby</t>
  </si>
  <si>
    <t>BC</t>
  </si>
  <si>
    <t>Brad</t>
  </si>
  <si>
    <t>Brian</t>
  </si>
  <si>
    <t>Carl</t>
  </si>
  <si>
    <t>Carter</t>
  </si>
  <si>
    <t>Casey</t>
  </si>
  <si>
    <t>Chris</t>
  </si>
  <si>
    <t>Christine</t>
  </si>
  <si>
    <t>Christopher</t>
  </si>
  <si>
    <t>Connie</t>
  </si>
  <si>
    <t>Dan</t>
  </si>
  <si>
    <t>Daniel</t>
  </si>
  <si>
    <t>Darren</t>
  </si>
  <si>
    <t>David</t>
  </si>
  <si>
    <t>Dominic</t>
  </si>
  <si>
    <t>Donguk</t>
  </si>
  <si>
    <t>Donough</t>
  </si>
  <si>
    <t>Douglas</t>
  </si>
  <si>
    <t>Ed</t>
  </si>
  <si>
    <t>Edgar</t>
  </si>
  <si>
    <t>EJ</t>
  </si>
  <si>
    <t>Elke</t>
  </si>
  <si>
    <t>Florian</t>
  </si>
  <si>
    <t>Fraser</t>
  </si>
  <si>
    <t>Garrett</t>
  </si>
  <si>
    <t>Gary</t>
  </si>
  <si>
    <t>Gaurav</t>
  </si>
  <si>
    <t>Geoff</t>
  </si>
  <si>
    <t>George</t>
  </si>
  <si>
    <t>Goh</t>
  </si>
  <si>
    <t>Govind</t>
  </si>
  <si>
    <t>Graham</t>
  </si>
  <si>
    <t>Grant</t>
  </si>
  <si>
    <t>Greg</t>
  </si>
  <si>
    <t>Guillaume</t>
  </si>
  <si>
    <t>Hiroshi</t>
  </si>
  <si>
    <t>Hugh</t>
  </si>
  <si>
    <t>Ian</t>
  </si>
  <si>
    <t>Isabel</t>
  </si>
  <si>
    <t>Ivy</t>
  </si>
  <si>
    <t>Jack</t>
  </si>
  <si>
    <t>Jamie</t>
  </si>
  <si>
    <t>Jane</t>
  </si>
  <si>
    <t>Jason</t>
  </si>
  <si>
    <t>Jean-Romain</t>
  </si>
  <si>
    <t>Jeannette</t>
  </si>
  <si>
    <t>Jeff</t>
  </si>
  <si>
    <t>Jeong Min</t>
  </si>
  <si>
    <t>Jesher</t>
  </si>
  <si>
    <t>John</t>
  </si>
  <si>
    <t>Jon</t>
  </si>
  <si>
    <t>Jonathan</t>
  </si>
  <si>
    <t>Jonny</t>
  </si>
  <si>
    <t>Jonty</t>
  </si>
  <si>
    <t>Julien</t>
  </si>
  <si>
    <t>Justin</t>
  </si>
  <si>
    <t>Kamal</t>
  </si>
  <si>
    <t>Karl</t>
  </si>
  <si>
    <t>Kaz</t>
  </si>
  <si>
    <t>Kelly-Ann</t>
  </si>
  <si>
    <t>Kelvin</t>
  </si>
  <si>
    <t>Kenichiro</t>
  </si>
  <si>
    <t>Kenneth</t>
  </si>
  <si>
    <t>Kevin</t>
  </si>
  <si>
    <t>Kinsey</t>
  </si>
  <si>
    <t>Kotaro</t>
  </si>
  <si>
    <t>Kunio</t>
  </si>
  <si>
    <t>Laura</t>
  </si>
  <si>
    <t>Louis</t>
  </si>
  <si>
    <t>Luke</t>
  </si>
  <si>
    <t>Madeleine</t>
  </si>
  <si>
    <t>Marc</t>
  </si>
  <si>
    <t>Marco</t>
  </si>
  <si>
    <t>Martin</t>
  </si>
  <si>
    <t>Matt</t>
  </si>
  <si>
    <t>Matthew</t>
  </si>
  <si>
    <t>Maverick</t>
  </si>
  <si>
    <t>MeiZhen</t>
  </si>
  <si>
    <t>Michael</t>
  </si>
  <si>
    <t>Mike</t>
  </si>
  <si>
    <t>Miten</t>
  </si>
  <si>
    <t>Neelay</t>
  </si>
  <si>
    <t>Nic</t>
  </si>
  <si>
    <t>Nicholas</t>
  </si>
  <si>
    <t>Nick</t>
  </si>
  <si>
    <t>Oli</t>
  </si>
  <si>
    <t>Osama</t>
  </si>
  <si>
    <t>Patrice</t>
  </si>
  <si>
    <t>Patrick</t>
  </si>
  <si>
    <t>Paul</t>
  </si>
  <si>
    <t>Peter</t>
  </si>
  <si>
    <t>Phil</t>
  </si>
  <si>
    <t>Phillip</t>
  </si>
  <si>
    <t>Pierre</t>
  </si>
  <si>
    <t>Piers</t>
  </si>
  <si>
    <t>Qian</t>
  </si>
  <si>
    <t>Rana</t>
  </si>
  <si>
    <t>Remco</t>
  </si>
  <si>
    <t>Richard</t>
  </si>
  <si>
    <t>Rick</t>
  </si>
  <si>
    <t>Rob</t>
  </si>
  <si>
    <t>Robert</t>
  </si>
  <si>
    <t>Russ</t>
  </si>
  <si>
    <t>Sam</t>
  </si>
  <si>
    <t>Sammy</t>
  </si>
  <si>
    <t>Sean</t>
  </si>
  <si>
    <t>Shane</t>
  </si>
  <si>
    <t>Shishir</t>
  </si>
  <si>
    <t>Shu</t>
  </si>
  <si>
    <t>Simon</t>
  </si>
  <si>
    <t>Sing</t>
  </si>
  <si>
    <t>Sophie</t>
  </si>
  <si>
    <t>Stephen</t>
  </si>
  <si>
    <t>Steve</t>
  </si>
  <si>
    <t>Struan</t>
  </si>
  <si>
    <t>Stuart</t>
  </si>
  <si>
    <t>Tao</t>
  </si>
  <si>
    <t>Thomas</t>
  </si>
  <si>
    <t>Toby</t>
  </si>
  <si>
    <t>Tom</t>
  </si>
  <si>
    <t>Vincent</t>
  </si>
  <si>
    <t>Vishal</t>
  </si>
  <si>
    <t>Wes</t>
  </si>
  <si>
    <t>William</t>
  </si>
  <si>
    <t>Yang</t>
  </si>
  <si>
    <t>Yash</t>
  </si>
  <si>
    <t>Yean</t>
  </si>
  <si>
    <t>Kelly-Ann McHugh</t>
  </si>
  <si>
    <t>date</t>
  </si>
  <si>
    <t>Noel Reddy</t>
  </si>
  <si>
    <t>Vikram Bhalla</t>
  </si>
  <si>
    <t>Mon Kongpatep</t>
  </si>
  <si>
    <t>Burke Hilder</t>
  </si>
  <si>
    <t>Adam Grabow</t>
  </si>
  <si>
    <t>Russell Toop</t>
  </si>
  <si>
    <t>Pat Foley</t>
  </si>
  <si>
    <t>Frits Scholte</t>
  </si>
  <si>
    <t>Joseph Duronio</t>
  </si>
  <si>
    <t>firstname</t>
  </si>
  <si>
    <t>lastname</t>
  </si>
  <si>
    <t>Noel</t>
  </si>
  <si>
    <t>Reddy</t>
  </si>
  <si>
    <t>Vikram</t>
  </si>
  <si>
    <t>Bhalia</t>
  </si>
  <si>
    <t>Mon</t>
  </si>
  <si>
    <t>Kongpatep</t>
  </si>
  <si>
    <t>Burke</t>
  </si>
  <si>
    <t>Hilder</t>
  </si>
  <si>
    <t>Grabow</t>
  </si>
  <si>
    <t>Pat</t>
  </si>
  <si>
    <t>Foley</t>
  </si>
  <si>
    <t>Russell</t>
  </si>
  <si>
    <t>Toop</t>
  </si>
  <si>
    <t>Frits</t>
  </si>
  <si>
    <t>Schoite</t>
  </si>
  <si>
    <t>Joseph</t>
  </si>
  <si>
    <t>Duronio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</si>
</sst>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Menlo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22" fillId="0" borderId="0" xfId="0" applyFont="1"/>
    <xf numFmtId="0" fontId="23" fillId="0" borderId="0" xfId="0" applyFont="1"/>
    <xf numFmtId="17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1" fillId="0" borderId="0" xfId="0" applyFont="1"/>
    <xf numFmtId="0" fontId="24" fillId="0" borderId="0" xfId="0" applyFont="1"/>
    <xf numFmtId="0" fontId="0" fillId="33" borderId="0" xfId="0" applyFill="1"/>
    <xf numFmtId="0" fontId="0" fillId="34" borderId="0" xfId="0" applyFill="1"/>
    <xf numFmtId="0" fontId="24" fillId="34" borderId="0" xfId="0" applyFont="1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bertspringett/Desktop/FSGS/2023%20FSGS.xlsx" TargetMode="External"/><Relationship Id="rId1" Type="http://schemas.openxmlformats.org/officeDocument/2006/relationships/externalLinkPath" Target="/Users/robertspringett/Desktop/FSGS/2023%20FS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 Season Ending HDCP"/>
      <sheetName val="2023 Coconut"/>
      <sheetName val="2024 Cocunut"/>
      <sheetName val="Jan 2023"/>
      <sheetName val="Feb 2023"/>
      <sheetName val="Mar 2023"/>
      <sheetName val="Apr 2023"/>
      <sheetName val="May 2023"/>
      <sheetName val="Jun 2023"/>
      <sheetName val="July 2023"/>
      <sheetName val="Aug 2023"/>
      <sheetName val="Sep 2023"/>
      <sheetName val="Oct 2023"/>
      <sheetName val="Nov 2023"/>
      <sheetName val="Dec 2023"/>
      <sheetName val="Jan 2024"/>
      <sheetName val="Feb 2024"/>
      <sheetName val="Mar 2024"/>
      <sheetName val="Apr 2024"/>
      <sheetName val="May 2024"/>
      <sheetName val="June 2024"/>
    </sheetNames>
    <sheetDataSet>
      <sheetData sheetId="0"/>
      <sheetData sheetId="1"/>
      <sheetData sheetId="2">
        <row r="1">
          <cell r="A1" t="str">
            <v>Place</v>
          </cell>
          <cell r="B1" t="str">
            <v>Name</v>
          </cell>
        </row>
        <row r="2">
          <cell r="A2">
            <v>1</v>
          </cell>
          <cell r="B2" t="str">
            <v>Jack Ellis</v>
          </cell>
        </row>
        <row r="3">
          <cell r="A3">
            <v>2</v>
          </cell>
          <cell r="B3" t="str">
            <v>Stuart Andrew</v>
          </cell>
        </row>
        <row r="4">
          <cell r="A4">
            <v>3</v>
          </cell>
          <cell r="B4" t="str">
            <v>Elke Biechele</v>
          </cell>
        </row>
        <row r="5">
          <cell r="A5">
            <v>4</v>
          </cell>
          <cell r="B5" t="str">
            <v>Jason Pae</v>
          </cell>
        </row>
        <row r="6">
          <cell r="A6">
            <v>5</v>
          </cell>
          <cell r="B6" t="str">
            <v>Barnaby Dobson</v>
          </cell>
        </row>
        <row r="7">
          <cell r="A7">
            <v>5</v>
          </cell>
          <cell r="B7" t="str">
            <v>Jeff Plein</v>
          </cell>
        </row>
        <row r="8">
          <cell r="A8">
            <v>7</v>
          </cell>
          <cell r="B8" t="str">
            <v>Edward Mills</v>
          </cell>
        </row>
        <row r="9">
          <cell r="A9">
            <v>8</v>
          </cell>
          <cell r="B9" t="str">
            <v>Karl Cowman</v>
          </cell>
        </row>
        <row r="10">
          <cell r="A10">
            <v>8</v>
          </cell>
          <cell r="B10" t="str">
            <v>Rana Datta</v>
          </cell>
        </row>
        <row r="11">
          <cell r="A11">
            <v>10</v>
          </cell>
          <cell r="B11" t="str">
            <v>Grant Bowman</v>
          </cell>
        </row>
        <row r="12">
          <cell r="A12">
            <v>10</v>
          </cell>
          <cell r="B12" t="str">
            <v>Peter Ang Nielsen</v>
          </cell>
        </row>
        <row r="13">
          <cell r="A13">
            <v>12</v>
          </cell>
          <cell r="B13" t="str">
            <v>Darren Measures</v>
          </cell>
        </row>
        <row r="14">
          <cell r="A14">
            <v>12</v>
          </cell>
          <cell r="B14" t="str">
            <v>Ian Donald</v>
          </cell>
        </row>
        <row r="15">
          <cell r="A15">
            <v>14</v>
          </cell>
          <cell r="B15" t="str">
            <v>Dan Sleep</v>
          </cell>
        </row>
        <row r="16">
          <cell r="A16">
            <v>15</v>
          </cell>
          <cell r="B16" t="str">
            <v>Annie Bang</v>
          </cell>
        </row>
        <row r="17">
          <cell r="A17">
            <v>16</v>
          </cell>
          <cell r="B17" t="str">
            <v>MeiZhen Wang</v>
          </cell>
        </row>
        <row r="18">
          <cell r="A18">
            <v>17</v>
          </cell>
          <cell r="B18" t="str">
            <v>Laura Ryan</v>
          </cell>
        </row>
        <row r="19">
          <cell r="A19">
            <v>18</v>
          </cell>
          <cell r="B19" t="str">
            <v>Richard Cogswell</v>
          </cell>
        </row>
        <row r="20">
          <cell r="A20">
            <v>18</v>
          </cell>
          <cell r="B20" t="str">
            <v>Qian Ying Goh</v>
          </cell>
        </row>
        <row r="21">
          <cell r="A21">
            <v>20</v>
          </cell>
          <cell r="B21" t="str">
            <v>Florian Dumas</v>
          </cell>
        </row>
        <row r="22">
          <cell r="A22">
            <v>21</v>
          </cell>
          <cell r="B22" t="str">
            <v>Tom Gooding</v>
          </cell>
        </row>
        <row r="23">
          <cell r="A23">
            <v>21</v>
          </cell>
          <cell r="B23" t="str">
            <v>Houl Lee</v>
          </cell>
        </row>
        <row r="24">
          <cell r="A24">
            <v>23</v>
          </cell>
          <cell r="B24" t="str">
            <v>Luke Boland</v>
          </cell>
        </row>
        <row r="25">
          <cell r="A25">
            <v>24</v>
          </cell>
          <cell r="B25" t="str">
            <v>Rick Browne</v>
          </cell>
        </row>
        <row r="26">
          <cell r="A26">
            <v>25</v>
          </cell>
          <cell r="B26" t="str">
            <v>Kelly-Ann Mchugh</v>
          </cell>
        </row>
        <row r="27">
          <cell r="A27">
            <v>25</v>
          </cell>
          <cell r="B27" t="str">
            <v>Richard Carrick</v>
          </cell>
        </row>
        <row r="28">
          <cell r="A28">
            <v>27</v>
          </cell>
          <cell r="B28" t="str">
            <v>Simon Van Dijk</v>
          </cell>
        </row>
        <row r="29">
          <cell r="A29">
            <v>27</v>
          </cell>
          <cell r="B29" t="str">
            <v>John Layburn</v>
          </cell>
        </row>
        <row r="30">
          <cell r="A30">
            <v>29</v>
          </cell>
          <cell r="B30" t="str">
            <v>Nicholas Stipp</v>
          </cell>
        </row>
        <row r="31">
          <cell r="A31">
            <v>29</v>
          </cell>
          <cell r="B31" t="str">
            <v>Brad Jowers</v>
          </cell>
        </row>
        <row r="32">
          <cell r="A32">
            <v>31</v>
          </cell>
          <cell r="B32" t="str">
            <v>Rob Springett</v>
          </cell>
        </row>
        <row r="33">
          <cell r="A33">
            <v>31</v>
          </cell>
          <cell r="B33" t="str">
            <v>Brian Brit</v>
          </cell>
        </row>
        <row r="34">
          <cell r="A34">
            <v>31</v>
          </cell>
          <cell r="B34" t="str">
            <v>Christine Yoong</v>
          </cell>
        </row>
        <row r="35">
          <cell r="A35">
            <v>31</v>
          </cell>
          <cell r="B35" t="str">
            <v>Peter Yung-Hok</v>
          </cell>
        </row>
        <row r="36">
          <cell r="A36">
            <v>31</v>
          </cell>
          <cell r="B36" t="str">
            <v>William Nicholls</v>
          </cell>
        </row>
        <row r="37">
          <cell r="A37">
            <v>31</v>
          </cell>
          <cell r="B37" t="str">
            <v>Casey Mee</v>
          </cell>
        </row>
        <row r="38">
          <cell r="A38">
            <v>31</v>
          </cell>
          <cell r="B38" t="str">
            <v>Carter Sunwall</v>
          </cell>
        </row>
        <row r="39">
          <cell r="A39">
            <v>38</v>
          </cell>
          <cell r="B39" t="str">
            <v>John Heming</v>
          </cell>
        </row>
        <row r="40">
          <cell r="A40">
            <v>38</v>
          </cell>
          <cell r="B40" t="str">
            <v>BC Tan</v>
          </cell>
        </row>
        <row r="41">
          <cell r="A41">
            <v>38</v>
          </cell>
          <cell r="B41" t="str">
            <v>Kelvin Foo</v>
          </cell>
        </row>
        <row r="42">
          <cell r="A42">
            <v>38</v>
          </cell>
          <cell r="B42" t="str">
            <v>Isabel Koh</v>
          </cell>
        </row>
        <row r="43">
          <cell r="A43">
            <v>38</v>
          </cell>
          <cell r="B43" t="str">
            <v>John Ong</v>
          </cell>
        </row>
        <row r="44">
          <cell r="A44">
            <v>38</v>
          </cell>
          <cell r="B44" t="str">
            <v>Ivy Ng</v>
          </cell>
        </row>
        <row r="45">
          <cell r="A45">
            <v>38</v>
          </cell>
          <cell r="B45" t="str">
            <v xml:space="preserve">Yang Kun </v>
          </cell>
        </row>
        <row r="46">
          <cell r="A46">
            <v>38</v>
          </cell>
          <cell r="B46" t="str">
            <v>Mike Pareles</v>
          </cell>
        </row>
        <row r="47">
          <cell r="A47">
            <v>38</v>
          </cell>
          <cell r="B47" t="str">
            <v>Ashley Scifleet</v>
          </cell>
        </row>
        <row r="48">
          <cell r="A48">
            <v>38</v>
          </cell>
          <cell r="B48" t="str">
            <v>Vincent Banton</v>
          </cell>
        </row>
        <row r="49">
          <cell r="A49">
            <v>38</v>
          </cell>
          <cell r="B49" t="str">
            <v>Neelay Patel</v>
          </cell>
        </row>
        <row r="50">
          <cell r="A50">
            <v>38</v>
          </cell>
          <cell r="B50" t="str">
            <v>Annabelle Lim</v>
          </cell>
        </row>
        <row r="51">
          <cell r="A51">
            <v>38</v>
          </cell>
          <cell r="B51" t="str">
            <v>Steve Settle</v>
          </cell>
        </row>
        <row r="52">
          <cell r="A52">
            <v>38</v>
          </cell>
          <cell r="B52" t="str">
            <v>Jason Ving</v>
          </cell>
        </row>
        <row r="53">
          <cell r="A53">
            <v>38</v>
          </cell>
          <cell r="B53" t="str">
            <v>Garret Lim</v>
          </cell>
        </row>
        <row r="54">
          <cell r="A54">
            <v>38</v>
          </cell>
          <cell r="B54" t="str">
            <v>Yash Wardhan</v>
          </cell>
        </row>
        <row r="55">
          <cell r="A55">
            <v>38</v>
          </cell>
          <cell r="B55" t="str">
            <v>Simon Eglise</v>
          </cell>
        </row>
        <row r="56">
          <cell r="A56">
            <v>38</v>
          </cell>
          <cell r="B56" t="str">
            <v>Russ Lee</v>
          </cell>
        </row>
        <row r="57">
          <cell r="A57">
            <v>38</v>
          </cell>
          <cell r="B57" t="str">
            <v>Phil Eden</v>
          </cell>
        </row>
        <row r="58">
          <cell r="A58">
            <v>38</v>
          </cell>
          <cell r="B58" t="str">
            <v>Andrew Stearns</v>
          </cell>
        </row>
        <row r="59">
          <cell r="A59">
            <v>38</v>
          </cell>
          <cell r="B59" t="str">
            <v>Madeleine Vinuya</v>
          </cell>
        </row>
        <row r="60">
          <cell r="A60">
            <v>38</v>
          </cell>
          <cell r="B60" t="str">
            <v>Albert Lim</v>
          </cell>
        </row>
        <row r="61">
          <cell r="A61">
            <v>38</v>
          </cell>
          <cell r="B61" t="str">
            <v>Edgar Tavera</v>
          </cell>
        </row>
        <row r="62">
          <cell r="A62">
            <v>38</v>
          </cell>
          <cell r="B62" t="str">
            <v>Nick Pelling</v>
          </cell>
        </row>
        <row r="63">
          <cell r="A63">
            <v>38</v>
          </cell>
          <cell r="B63" t="str">
            <v>Connie Wong</v>
          </cell>
        </row>
        <row r="64">
          <cell r="A64">
            <v>38</v>
          </cell>
          <cell r="B64" t="str">
            <v>Michael Gallagher</v>
          </cell>
        </row>
        <row r="65">
          <cell r="A65">
            <v>38</v>
          </cell>
          <cell r="B65" t="str">
            <v>Eric Sears</v>
          </cell>
        </row>
        <row r="66">
          <cell r="A66">
            <v>38</v>
          </cell>
          <cell r="B66" t="str">
            <v>Darren Lee</v>
          </cell>
        </row>
        <row r="67">
          <cell r="A67">
            <v>38</v>
          </cell>
          <cell r="B67" t="str">
            <v>Steve Masternak</v>
          </cell>
        </row>
        <row r="68">
          <cell r="A68">
            <v>38</v>
          </cell>
          <cell r="B68" t="str">
            <v>Jane You</v>
          </cell>
        </row>
        <row r="69">
          <cell r="A69">
            <v>38</v>
          </cell>
          <cell r="B69" t="str">
            <v>Dominic Morrison</v>
          </cell>
        </row>
        <row r="70">
          <cell r="A70">
            <v>38</v>
          </cell>
          <cell r="B70" t="str">
            <v>Erik Sears</v>
          </cell>
        </row>
        <row r="71">
          <cell r="A71">
            <v>38</v>
          </cell>
          <cell r="B71" t="str">
            <v>Douglas Hudson</v>
          </cell>
        </row>
        <row r="72">
          <cell r="A72">
            <v>38</v>
          </cell>
          <cell r="B72" t="str">
            <v>(JM) Jeong Min Yun</v>
          </cell>
        </row>
        <row r="73">
          <cell r="A73">
            <v>38</v>
          </cell>
          <cell r="B73" t="str">
            <v>Gerard Whitty</v>
          </cell>
        </row>
        <row r="74">
          <cell r="A74">
            <v>73</v>
          </cell>
          <cell r="B74" t="str">
            <v>Daniel Leong</v>
          </cell>
        </row>
        <row r="75">
          <cell r="A75">
            <v>73</v>
          </cell>
          <cell r="B75" t="str">
            <v>Jonathan Miles</v>
          </cell>
        </row>
        <row r="76">
          <cell r="A76">
            <v>73</v>
          </cell>
          <cell r="B76" t="str">
            <v>Simon Scott</v>
          </cell>
        </row>
        <row r="77">
          <cell r="A77">
            <v>73</v>
          </cell>
          <cell r="B77" t="str">
            <v>Patrick Tyson</v>
          </cell>
        </row>
        <row r="78">
          <cell r="A78">
            <v>73</v>
          </cell>
          <cell r="B78" t="str">
            <v>Piers Hughes</v>
          </cell>
        </row>
        <row r="79">
          <cell r="A79">
            <v>73</v>
          </cell>
          <cell r="B79" t="str">
            <v>Kenneth Cheung</v>
          </cell>
        </row>
        <row r="80">
          <cell r="A80">
            <v>73</v>
          </cell>
          <cell r="B80" t="str">
            <v>Marc Westgate</v>
          </cell>
        </row>
        <row r="81">
          <cell r="A81">
            <v>73</v>
          </cell>
          <cell r="B81" t="str">
            <v>Remco Schenk</v>
          </cell>
        </row>
        <row r="82">
          <cell r="A82">
            <v>73</v>
          </cell>
          <cell r="B82" t="str">
            <v>Andre Gruber</v>
          </cell>
        </row>
        <row r="83">
          <cell r="A83">
            <v>73</v>
          </cell>
          <cell r="B83" t="str">
            <v>Julien Blain</v>
          </cell>
        </row>
        <row r="84">
          <cell r="A84">
            <v>73</v>
          </cell>
          <cell r="B84" t="str">
            <v>Nic Kopitsis</v>
          </cell>
        </row>
        <row r="85">
          <cell r="A85">
            <v>73</v>
          </cell>
          <cell r="B85" t="str">
            <v>Andrea Sbalchiero</v>
          </cell>
        </row>
        <row r="86">
          <cell r="A86">
            <v>73</v>
          </cell>
          <cell r="B86" t="str">
            <v>Daniel Lawrence</v>
          </cell>
        </row>
        <row r="87">
          <cell r="A87">
            <v>73</v>
          </cell>
          <cell r="B87" t="str">
            <v>Jonty Richardson</v>
          </cell>
        </row>
        <row r="88">
          <cell r="A88">
            <v>73</v>
          </cell>
          <cell r="B88" t="str">
            <v>Marco Attilio</v>
          </cell>
        </row>
        <row r="89">
          <cell r="A89">
            <v>73</v>
          </cell>
          <cell r="B89" t="str">
            <v>Sophie Yeung</v>
          </cell>
        </row>
        <row r="90">
          <cell r="A90">
            <v>73</v>
          </cell>
          <cell r="B90" t="str">
            <v>Martin Hrastic</v>
          </cell>
        </row>
        <row r="91">
          <cell r="A91">
            <v>73</v>
          </cell>
          <cell r="B91" t="str">
            <v>Stephen Woodrow</v>
          </cell>
        </row>
        <row r="92">
          <cell r="A92">
            <v>73</v>
          </cell>
          <cell r="B92" t="str">
            <v>Ed Mills</v>
          </cell>
        </row>
        <row r="93">
          <cell r="A93">
            <v>73</v>
          </cell>
          <cell r="B93" t="str">
            <v>Ian Bowden</v>
          </cell>
        </row>
        <row r="94">
          <cell r="A94">
            <v>73</v>
          </cell>
          <cell r="B94" t="str">
            <v>Ryan Neebe</v>
          </cell>
        </row>
        <row r="95">
          <cell r="A95">
            <v>73</v>
          </cell>
          <cell r="B95" t="str">
            <v>Steve McCole</v>
          </cell>
        </row>
        <row r="96">
          <cell r="A96">
            <v>73</v>
          </cell>
          <cell r="B96" t="str">
            <v>Nick Waite</v>
          </cell>
        </row>
        <row r="97">
          <cell r="A97">
            <v>73</v>
          </cell>
          <cell r="B97" t="str">
            <v>Patrice Magret Delord</v>
          </cell>
        </row>
        <row r="98">
          <cell r="A98">
            <v>73</v>
          </cell>
          <cell r="B98" t="str">
            <v>Vishal Achar</v>
          </cell>
        </row>
        <row r="99">
          <cell r="A99">
            <v>73</v>
          </cell>
          <cell r="B99" t="str">
            <v>Chris Dunham</v>
          </cell>
        </row>
        <row r="100">
          <cell r="A100">
            <v>73</v>
          </cell>
          <cell r="B100" t="str">
            <v>Guillaume Augustin</v>
          </cell>
        </row>
        <row r="101">
          <cell r="A101">
            <v>73</v>
          </cell>
          <cell r="B101" t="str">
            <v>Donough Murphy</v>
          </cell>
        </row>
        <row r="102">
          <cell r="A102">
            <v>73</v>
          </cell>
          <cell r="B102" t="str">
            <v>Ed Thwaites</v>
          </cell>
        </row>
        <row r="103">
          <cell r="A103">
            <v>73</v>
          </cell>
          <cell r="B103" t="str">
            <v>Chris Emslie</v>
          </cell>
        </row>
        <row r="104">
          <cell r="A104">
            <v>73</v>
          </cell>
          <cell r="B104" t="str">
            <v>Chris Johnson</v>
          </cell>
        </row>
        <row r="105">
          <cell r="A105">
            <v>73</v>
          </cell>
          <cell r="B105" t="str">
            <v>Alex Thanopoulos</v>
          </cell>
        </row>
        <row r="106">
          <cell r="A106">
            <v>73</v>
          </cell>
          <cell r="B106" t="str">
            <v>Oli Hinchliffe</v>
          </cell>
        </row>
        <row r="107">
          <cell r="A107">
            <v>73</v>
          </cell>
          <cell r="B107" t="str">
            <v>Jonathan Woodward</v>
          </cell>
        </row>
        <row r="108">
          <cell r="A108">
            <v>73</v>
          </cell>
          <cell r="B108" t="str">
            <v>Justin McCarthy</v>
          </cell>
        </row>
        <row r="109">
          <cell r="A109">
            <v>73</v>
          </cell>
          <cell r="B109" t="str">
            <v>Jeannette Chan</v>
          </cell>
        </row>
        <row r="110">
          <cell r="A110">
            <v>73</v>
          </cell>
          <cell r="B110" t="str">
            <v>Kevin Foy</v>
          </cell>
        </row>
        <row r="111">
          <cell r="A111">
            <v>73</v>
          </cell>
          <cell r="B111" t="str">
            <v>Robert Jan Dettmeijer</v>
          </cell>
        </row>
        <row r="112">
          <cell r="A112">
            <v>73</v>
          </cell>
          <cell r="B112" t="str">
            <v>Luke Moffat</v>
          </cell>
        </row>
        <row r="113">
          <cell r="A113">
            <v>73</v>
          </cell>
          <cell r="B113" t="str">
            <v>Alexander Loh</v>
          </cell>
        </row>
        <row r="114">
          <cell r="A114">
            <v>73</v>
          </cell>
          <cell r="B114" t="str">
            <v>Florian Goupil</v>
          </cell>
        </row>
        <row r="115">
          <cell r="A115">
            <v>73</v>
          </cell>
          <cell r="B115" t="str">
            <v>Jesher Lim</v>
          </cell>
        </row>
        <row r="116">
          <cell r="A116">
            <v>73</v>
          </cell>
          <cell r="B116" t="str">
            <v>Justin Morrison</v>
          </cell>
        </row>
        <row r="117">
          <cell r="A117">
            <v>73</v>
          </cell>
          <cell r="B117" t="str">
            <v>James Caik</v>
          </cell>
        </row>
        <row r="118">
          <cell r="A118">
            <v>73</v>
          </cell>
          <cell r="B118" t="str">
            <v>David Yu</v>
          </cell>
        </row>
        <row r="119">
          <cell r="A119">
            <v>73</v>
          </cell>
          <cell r="B119" t="str">
            <v>Gary Brookes</v>
          </cell>
        </row>
        <row r="120">
          <cell r="A120">
            <v>73</v>
          </cell>
          <cell r="B120" t="str">
            <v>James Green</v>
          </cell>
        </row>
        <row r="121">
          <cell r="A121">
            <v>73</v>
          </cell>
          <cell r="B121" t="str">
            <v>Kamal Ridzam</v>
          </cell>
        </row>
        <row r="122">
          <cell r="A122">
            <v>73</v>
          </cell>
          <cell r="B122" t="str">
            <v>Jonny Owens</v>
          </cell>
        </row>
        <row r="123">
          <cell r="A123">
            <v>73</v>
          </cell>
          <cell r="B123" t="str">
            <v>Toby Michelmore</v>
          </cell>
        </row>
        <row r="124">
          <cell r="A124">
            <v>73</v>
          </cell>
          <cell r="B124" t="str">
            <v>Fraser Macdonald</v>
          </cell>
        </row>
        <row r="125">
          <cell r="A125">
            <v>73</v>
          </cell>
          <cell r="B125" t="str">
            <v>Andrea Vanara</v>
          </cell>
        </row>
        <row r="126">
          <cell r="A126">
            <v>73</v>
          </cell>
          <cell r="B126" t="str">
            <v>Sing Chan Ng</v>
          </cell>
        </row>
        <row r="127">
          <cell r="A127">
            <v>73</v>
          </cell>
          <cell r="B127" t="str">
            <v>Greg Atherstone</v>
          </cell>
        </row>
        <row r="128">
          <cell r="A128">
            <v>73</v>
          </cell>
          <cell r="B128" t="str">
            <v>Hugh Baker</v>
          </cell>
        </row>
        <row r="129">
          <cell r="A129">
            <v>73</v>
          </cell>
          <cell r="B129" t="str">
            <v>Anand Shekaran</v>
          </cell>
        </row>
        <row r="130">
          <cell r="A130">
            <v>73</v>
          </cell>
          <cell r="B130" t="str">
            <v>Struan Lloyd</v>
          </cell>
        </row>
        <row r="131">
          <cell r="A131">
            <v>73</v>
          </cell>
          <cell r="B131" t="str">
            <v>Matthew Wardell</v>
          </cell>
        </row>
        <row r="132">
          <cell r="A132">
            <v>73</v>
          </cell>
          <cell r="B132" t="str">
            <v>Osama Qazi</v>
          </cell>
        </row>
        <row r="133">
          <cell r="A133">
            <v>73</v>
          </cell>
          <cell r="B133" t="str">
            <v>Lee Houl</v>
          </cell>
        </row>
        <row r="134">
          <cell r="A134">
            <v>73</v>
          </cell>
          <cell r="B134" t="str">
            <v>Tao Lin</v>
          </cell>
        </row>
        <row r="135">
          <cell r="A135">
            <v>73</v>
          </cell>
          <cell r="B135" t="str">
            <v>Vincent Tay</v>
          </cell>
        </row>
        <row r="136">
          <cell r="A136">
            <v>73</v>
          </cell>
          <cell r="B136" t="str">
            <v>Thomas Hind</v>
          </cell>
        </row>
        <row r="137">
          <cell r="A137">
            <v>73</v>
          </cell>
          <cell r="B137" t="str">
            <v>Scott Charlton</v>
          </cell>
        </row>
        <row r="138">
          <cell r="A138">
            <v>73</v>
          </cell>
          <cell r="B138" t="str">
            <v>Maverick Wong</v>
          </cell>
        </row>
        <row r="139">
          <cell r="A139">
            <v>73</v>
          </cell>
          <cell r="B139" t="str">
            <v>Louis Davis</v>
          </cell>
        </row>
        <row r="140">
          <cell r="A140">
            <v>73</v>
          </cell>
          <cell r="B140" t="str">
            <v>Assaf Tarnopolsky</v>
          </cell>
        </row>
        <row r="141">
          <cell r="A141">
            <v>73</v>
          </cell>
          <cell r="B141" t="str">
            <v>Yean Chong</v>
          </cell>
        </row>
        <row r="142">
          <cell r="A142">
            <v>73</v>
          </cell>
          <cell r="B142" t="str">
            <v>Kenichiro Matsuoka</v>
          </cell>
        </row>
        <row r="143">
          <cell r="A143">
            <v>73</v>
          </cell>
          <cell r="B143" t="str">
            <v>Kaz Naoki</v>
          </cell>
        </row>
        <row r="144">
          <cell r="A144">
            <v>73</v>
          </cell>
          <cell r="B144" t="str">
            <v>Carl Granfelt</v>
          </cell>
        </row>
        <row r="145">
          <cell r="A145">
            <v>73</v>
          </cell>
          <cell r="B145" t="str">
            <v>David Welch</v>
          </cell>
        </row>
        <row r="146">
          <cell r="A146">
            <v>73</v>
          </cell>
          <cell r="B146" t="str">
            <v>Graham Isherwood</v>
          </cell>
        </row>
        <row r="147">
          <cell r="A147">
            <v>73</v>
          </cell>
          <cell r="B147" t="str">
            <v>Hiroshi Yamakawa</v>
          </cell>
        </row>
        <row r="148">
          <cell r="A148">
            <v>73</v>
          </cell>
          <cell r="B148" t="str">
            <v>Ian Porteous</v>
          </cell>
        </row>
        <row r="149">
          <cell r="A149">
            <v>73</v>
          </cell>
          <cell r="B149" t="str">
            <v>James Craik</v>
          </cell>
        </row>
        <row r="150">
          <cell r="A150">
            <v>73</v>
          </cell>
          <cell r="B150" t="str">
            <v>Jean-Romain Roig</v>
          </cell>
        </row>
        <row r="151">
          <cell r="A151">
            <v>73</v>
          </cell>
          <cell r="B151" t="str">
            <v>Kotaro Honda</v>
          </cell>
        </row>
        <row r="152">
          <cell r="A152">
            <v>73</v>
          </cell>
          <cell r="B152" t="str">
            <v>Martin Tan</v>
          </cell>
        </row>
        <row r="153">
          <cell r="A153">
            <v>73</v>
          </cell>
          <cell r="B153" t="str">
            <v>Matt Komatsu</v>
          </cell>
        </row>
        <row r="154">
          <cell r="A154">
            <v>73</v>
          </cell>
          <cell r="B154" t="str">
            <v>Pierre Momin</v>
          </cell>
        </row>
        <row r="155">
          <cell r="A155">
            <v>73</v>
          </cell>
          <cell r="B155" t="str">
            <v>Sam Williams</v>
          </cell>
        </row>
        <row r="156">
          <cell r="A156">
            <v>73</v>
          </cell>
          <cell r="B156" t="str">
            <v>Simon Jones</v>
          </cell>
        </row>
        <row r="157">
          <cell r="A157">
            <v>73</v>
          </cell>
          <cell r="B157" t="str">
            <v>Tom Sullivan</v>
          </cell>
        </row>
        <row r="158">
          <cell r="A158">
            <v>73</v>
          </cell>
          <cell r="B158" t="str">
            <v>Daniel Kennedy</v>
          </cell>
        </row>
        <row r="159">
          <cell r="A159">
            <v>73</v>
          </cell>
          <cell r="B159" t="str">
            <v>Shu Niwa</v>
          </cell>
        </row>
        <row r="160">
          <cell r="A160">
            <v>73</v>
          </cell>
          <cell r="B160" t="str">
            <v>Matthew Freilich</v>
          </cell>
        </row>
        <row r="161">
          <cell r="A161">
            <v>73</v>
          </cell>
          <cell r="B161" t="str">
            <v>Abdel El Ferdi</v>
          </cell>
        </row>
        <row r="162">
          <cell r="A162">
            <v>73</v>
          </cell>
          <cell r="B162" t="str">
            <v>Adam Maccanti</v>
          </cell>
        </row>
        <row r="163">
          <cell r="A163">
            <v>73</v>
          </cell>
          <cell r="B163" t="str">
            <v>Agneiska SO</v>
          </cell>
        </row>
        <row r="164">
          <cell r="A164">
            <v>73</v>
          </cell>
          <cell r="B164" t="str">
            <v>Alexander Thorhauge</v>
          </cell>
        </row>
        <row r="165">
          <cell r="A165">
            <v>73</v>
          </cell>
          <cell r="B165" t="str">
            <v>Antoine Augustin</v>
          </cell>
        </row>
        <row r="166">
          <cell r="A166">
            <v>73</v>
          </cell>
          <cell r="B166" t="str">
            <v>April Porteous</v>
          </cell>
        </row>
        <row r="167">
          <cell r="A167">
            <v>73</v>
          </cell>
          <cell r="B167" t="str">
            <v>Arun Chandramouli</v>
          </cell>
        </row>
        <row r="168">
          <cell r="A168">
            <v>73</v>
          </cell>
          <cell r="B168" t="str">
            <v>Chris Bezuidenhout </v>
          </cell>
        </row>
        <row r="169">
          <cell r="A169">
            <v>73</v>
          </cell>
          <cell r="B169" t="str">
            <v>Chris Schneider</v>
          </cell>
        </row>
        <row r="170">
          <cell r="A170">
            <v>73</v>
          </cell>
          <cell r="B170" t="str">
            <v>Christopher Johnson</v>
          </cell>
        </row>
        <row r="171">
          <cell r="A171">
            <v>73</v>
          </cell>
          <cell r="B171" t="str">
            <v>David Kim</v>
          </cell>
        </row>
        <row r="172">
          <cell r="A172">
            <v>73</v>
          </cell>
          <cell r="B172" t="str">
            <v>David Pan</v>
          </cell>
        </row>
        <row r="173">
          <cell r="A173">
            <v>73</v>
          </cell>
          <cell r="B173" t="str">
            <v>EJ Hwang</v>
          </cell>
        </row>
        <row r="174">
          <cell r="A174">
            <v>73</v>
          </cell>
          <cell r="B174" t="str">
            <v>Fraser Anderson</v>
          </cell>
        </row>
        <row r="175">
          <cell r="A175">
            <v>73</v>
          </cell>
          <cell r="B175" t="str">
            <v>Geoff Wyatt</v>
          </cell>
        </row>
        <row r="176">
          <cell r="A176">
            <v>73</v>
          </cell>
          <cell r="B176" t="str">
            <v>Goh Ying</v>
          </cell>
        </row>
        <row r="177">
          <cell r="A177">
            <v>73</v>
          </cell>
          <cell r="B177" t="str">
            <v>Grant Dawson</v>
          </cell>
        </row>
        <row r="178">
          <cell r="A178">
            <v>73</v>
          </cell>
          <cell r="B178" t="str">
            <v>Jono Miles</v>
          </cell>
        </row>
        <row r="179">
          <cell r="A179">
            <v>73</v>
          </cell>
          <cell r="B179" t="str">
            <v>Kunio Sakaide</v>
          </cell>
        </row>
        <row r="180">
          <cell r="A180">
            <v>73</v>
          </cell>
          <cell r="B180" t="str">
            <v>Mae Miles</v>
          </cell>
        </row>
        <row r="181">
          <cell r="A181">
            <v>73</v>
          </cell>
          <cell r="B181" t="str">
            <v>Miten Amin</v>
          </cell>
        </row>
        <row r="182">
          <cell r="A182">
            <v>73</v>
          </cell>
          <cell r="B182" t="str">
            <v>Paul Debourdeau</v>
          </cell>
        </row>
        <row r="183">
          <cell r="A183">
            <v>73</v>
          </cell>
          <cell r="B183" t="str">
            <v>Richard Abrahams</v>
          </cell>
        </row>
        <row r="184">
          <cell r="A184">
            <v>73</v>
          </cell>
          <cell r="B184" t="str">
            <v>Shane Flaherty</v>
          </cell>
        </row>
        <row r="185">
          <cell r="A185">
            <v>73</v>
          </cell>
          <cell r="B185" t="str">
            <v>Wes Steinman</v>
          </cell>
        </row>
        <row r="186">
          <cell r="A186">
            <v>73</v>
          </cell>
          <cell r="B186" t="str">
            <v>Yang He</v>
          </cell>
        </row>
        <row r="187">
          <cell r="A187">
            <v>73</v>
          </cell>
          <cell r="B187" t="str">
            <v>Chris Kelata</v>
          </cell>
        </row>
        <row r="188">
          <cell r="A188">
            <v>73</v>
          </cell>
          <cell r="B188" t="str">
            <v>Stuart Knowling</v>
          </cell>
        </row>
        <row r="189">
          <cell r="A189">
            <v>73</v>
          </cell>
          <cell r="B189" t="str">
            <v>George Hindmarsh</v>
          </cell>
        </row>
        <row r="190">
          <cell r="A190">
            <v>73</v>
          </cell>
          <cell r="B190" t="str">
            <v>Gaurav Bhagat</v>
          </cell>
        </row>
        <row r="191">
          <cell r="A191">
            <v>73</v>
          </cell>
          <cell r="B191" t="str">
            <v>Kinsey Cotton</v>
          </cell>
        </row>
        <row r="192">
          <cell r="A192">
            <v>73</v>
          </cell>
          <cell r="B192" t="str">
            <v>Tom Stephens</v>
          </cell>
        </row>
        <row r="193">
          <cell r="A193">
            <v>73</v>
          </cell>
          <cell r="B193" t="str">
            <v>Peter Hipolito</v>
          </cell>
        </row>
        <row r="194">
          <cell r="A194">
            <v>73</v>
          </cell>
          <cell r="B194" t="str">
            <v>William Lu</v>
          </cell>
        </row>
        <row r="195">
          <cell r="A195">
            <v>73</v>
          </cell>
          <cell r="B195" t="str">
            <v>Simon Porter</v>
          </cell>
        </row>
        <row r="196">
          <cell r="A196">
            <v>73</v>
          </cell>
          <cell r="B196" t="str">
            <v>Carl Richter</v>
          </cell>
        </row>
        <row r="197">
          <cell r="A197">
            <v>73</v>
          </cell>
          <cell r="B197" t="str">
            <v>Simon Ward</v>
          </cell>
        </row>
        <row r="198">
          <cell r="A198">
            <v>73</v>
          </cell>
          <cell r="B198" t="str">
            <v>Aleks Piskorz</v>
          </cell>
        </row>
        <row r="199">
          <cell r="A199">
            <v>73</v>
          </cell>
          <cell r="B199" t="str">
            <v>Phillip Van Dine</v>
          </cell>
        </row>
        <row r="200">
          <cell r="A200">
            <v>73</v>
          </cell>
          <cell r="B200" t="str">
            <v>Sammy Elazab</v>
          </cell>
        </row>
        <row r="201">
          <cell r="A201">
            <v>73</v>
          </cell>
          <cell r="B201" t="str">
            <v>Paul Gray</v>
          </cell>
        </row>
        <row r="202">
          <cell r="A202">
            <v>73</v>
          </cell>
          <cell r="B202" t="str">
            <v>Shishir Prasad</v>
          </cell>
        </row>
        <row r="203">
          <cell r="A203">
            <v>73</v>
          </cell>
          <cell r="B203" t="str">
            <v>Adrian Griffiths</v>
          </cell>
        </row>
        <row r="204">
          <cell r="A204">
            <v>73</v>
          </cell>
          <cell r="B204" t="str">
            <v>Donguk Chung</v>
          </cell>
        </row>
        <row r="205">
          <cell r="A205">
            <v>73</v>
          </cell>
          <cell r="B205" t="str">
            <v>Antoine Ducarme</v>
          </cell>
        </row>
        <row r="206">
          <cell r="A206">
            <v>73</v>
          </cell>
          <cell r="B206" t="str">
            <v>Shu Liu</v>
          </cell>
        </row>
        <row r="207">
          <cell r="A207">
            <v>73</v>
          </cell>
          <cell r="B207" t="str">
            <v>Simon Lloyd</v>
          </cell>
        </row>
        <row r="208">
          <cell r="A208">
            <v>73</v>
          </cell>
          <cell r="B208" t="str">
            <v>Sean McDermott</v>
          </cell>
        </row>
        <row r="209">
          <cell r="A209">
            <v>73</v>
          </cell>
          <cell r="B209" t="str">
            <v>James Lord</v>
          </cell>
        </row>
        <row r="210">
          <cell r="A210">
            <v>73</v>
          </cell>
          <cell r="B210" t="str">
            <v>Matt Donovan</v>
          </cell>
        </row>
        <row r="211">
          <cell r="A211">
            <v>73</v>
          </cell>
          <cell r="B211" t="str">
            <v>Sue Ann Lim</v>
          </cell>
        </row>
        <row r="212">
          <cell r="A212">
            <v>73</v>
          </cell>
          <cell r="B212" t="str">
            <v>Jamie Hunt</v>
          </cell>
        </row>
        <row r="213">
          <cell r="A213">
            <v>73</v>
          </cell>
          <cell r="B213" t="str">
            <v>Govind Chowdhery</v>
          </cell>
        </row>
        <row r="214">
          <cell r="A214">
            <v>73</v>
          </cell>
          <cell r="B214" t="str">
            <v>Jon Gilpin</v>
          </cell>
        </row>
        <row r="215">
          <cell r="B215" t="str">
            <v>Noel Reddy</v>
          </cell>
        </row>
        <row r="216">
          <cell r="B216" t="str">
            <v>Vikram Bhalla</v>
          </cell>
        </row>
        <row r="217">
          <cell r="B217" t="str">
            <v>Mon Kongpatep</v>
          </cell>
        </row>
        <row r="218">
          <cell r="B218" t="str">
            <v>Burke Hilder</v>
          </cell>
        </row>
        <row r="219">
          <cell r="B219" t="str">
            <v>Adam Grabow</v>
          </cell>
        </row>
        <row r="220">
          <cell r="B220" t="str">
            <v>Russell Toop</v>
          </cell>
        </row>
        <row r="221">
          <cell r="B221" t="str">
            <v>Pat Foley</v>
          </cell>
        </row>
        <row r="222">
          <cell r="B222" t="str">
            <v>Frits Scholte</v>
          </cell>
        </row>
        <row r="223">
          <cell r="B223" t="str">
            <v>Joseph Duronio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0DBB-6405-F44C-AEB5-E5DEB6D727A4}">
  <sheetPr codeName="Sheet1"/>
  <dimension ref="A1:A55"/>
  <sheetViews>
    <sheetView workbookViewId="0">
      <selection sqref="A1:B2"/>
    </sheetView>
  </sheetViews>
  <sheetFormatPr baseColWidth="10" defaultRowHeight="16" x14ac:dyDescent="0.2"/>
  <sheetData>
    <row r="1" spans="1:1" x14ac:dyDescent="0.2">
      <c r="A1" s="2" t="s">
        <v>423</v>
      </c>
    </row>
    <row r="2" spans="1:1" x14ac:dyDescent="0.2">
      <c r="A2" s="2" t="s">
        <v>424</v>
      </c>
    </row>
    <row r="4" spans="1:1" x14ac:dyDescent="0.2">
      <c r="A4" s="2" t="s">
        <v>425</v>
      </c>
    </row>
    <row r="5" spans="1:1" x14ac:dyDescent="0.2">
      <c r="A5" s="2" t="s">
        <v>426</v>
      </c>
    </row>
    <row r="7" spans="1:1" x14ac:dyDescent="0.2">
      <c r="A7" s="2" t="s">
        <v>427</v>
      </c>
    </row>
    <row r="8" spans="1:1" x14ac:dyDescent="0.2">
      <c r="A8" s="2" t="s">
        <v>428</v>
      </c>
    </row>
    <row r="9" spans="1:1" x14ac:dyDescent="0.2">
      <c r="A9" s="2" t="s">
        <v>429</v>
      </c>
    </row>
    <row r="10" spans="1:1" x14ac:dyDescent="0.2">
      <c r="A10" s="2" t="s">
        <v>430</v>
      </c>
    </row>
    <row r="11" spans="1:1" x14ac:dyDescent="0.2">
      <c r="A11" s="2" t="s">
        <v>431</v>
      </c>
    </row>
    <row r="13" spans="1:1" x14ac:dyDescent="0.2">
      <c r="A13" s="2" t="s">
        <v>425</v>
      </c>
    </row>
    <row r="14" spans="1:1" x14ac:dyDescent="0.2">
      <c r="A14" s="2" t="s">
        <v>422</v>
      </c>
    </row>
    <row r="15" spans="1:1" x14ac:dyDescent="0.2">
      <c r="A15" s="2" t="s">
        <v>432</v>
      </c>
    </row>
    <row r="17" spans="1:1" x14ac:dyDescent="0.2">
      <c r="A17" s="2" t="s">
        <v>433</v>
      </c>
    </row>
    <row r="18" spans="1:1" x14ac:dyDescent="0.2">
      <c r="A18" s="2" t="s">
        <v>434</v>
      </c>
    </row>
    <row r="19" spans="1:1" x14ac:dyDescent="0.2">
      <c r="A19" s="2" t="s">
        <v>435</v>
      </c>
    </row>
    <row r="20" spans="1:1" x14ac:dyDescent="0.2">
      <c r="A20" s="2" t="s">
        <v>436</v>
      </c>
    </row>
    <row r="22" spans="1:1" x14ac:dyDescent="0.2">
      <c r="A22" s="2" t="s">
        <v>425</v>
      </c>
    </row>
    <row r="23" spans="1:1" x14ac:dyDescent="0.2">
      <c r="A23" s="2" t="s">
        <v>422</v>
      </c>
    </row>
    <row r="24" spans="1:1" x14ac:dyDescent="0.2">
      <c r="A24" s="2" t="s">
        <v>437</v>
      </c>
    </row>
    <row r="26" spans="1:1" x14ac:dyDescent="0.2">
      <c r="A26" s="2" t="s">
        <v>438</v>
      </c>
    </row>
    <row r="27" spans="1:1" x14ac:dyDescent="0.2">
      <c r="A27" s="2" t="s">
        <v>439</v>
      </c>
    </row>
    <row r="28" spans="1:1" x14ac:dyDescent="0.2">
      <c r="A28" s="2" t="s">
        <v>440</v>
      </c>
    </row>
    <row r="29" spans="1:1" x14ac:dyDescent="0.2">
      <c r="A29" s="2" t="s">
        <v>441</v>
      </c>
    </row>
    <row r="30" spans="1:1" x14ac:dyDescent="0.2">
      <c r="A30" s="2" t="s">
        <v>442</v>
      </c>
    </row>
    <row r="31" spans="1:1" x14ac:dyDescent="0.2">
      <c r="A31" s="2" t="s">
        <v>443</v>
      </c>
    </row>
    <row r="32" spans="1:1" x14ac:dyDescent="0.2">
      <c r="A32" s="2" t="s">
        <v>444</v>
      </c>
    </row>
    <row r="34" spans="1:1" x14ac:dyDescent="0.2">
      <c r="A34" s="2" t="s">
        <v>425</v>
      </c>
    </row>
    <row r="35" spans="1:1" x14ac:dyDescent="0.2">
      <c r="A35" s="2" t="s">
        <v>422</v>
      </c>
    </row>
    <row r="36" spans="1:1" x14ac:dyDescent="0.2">
      <c r="A36" s="2" t="s">
        <v>445</v>
      </c>
    </row>
    <row r="39" spans="1:1" x14ac:dyDescent="0.2">
      <c r="A39" s="2" t="s">
        <v>446</v>
      </c>
    </row>
    <row r="40" spans="1:1" x14ac:dyDescent="0.2">
      <c r="A40" s="2" t="s">
        <v>447</v>
      </c>
    </row>
    <row r="41" spans="1:1" x14ac:dyDescent="0.2">
      <c r="A41" s="2" t="s">
        <v>448</v>
      </c>
    </row>
    <row r="42" spans="1:1" x14ac:dyDescent="0.2">
      <c r="A42" s="2" t="s">
        <v>449</v>
      </c>
    </row>
    <row r="44" spans="1:1" x14ac:dyDescent="0.2">
      <c r="A44" s="2" t="s">
        <v>425</v>
      </c>
    </row>
    <row r="45" spans="1:1" x14ac:dyDescent="0.2">
      <c r="A45" s="2" t="s">
        <v>422</v>
      </c>
    </row>
    <row r="46" spans="1:1" x14ac:dyDescent="0.2">
      <c r="A46" s="2" t="s">
        <v>450</v>
      </c>
    </row>
    <row r="47" spans="1:1" x14ac:dyDescent="0.2">
      <c r="A47" s="2" t="s">
        <v>451</v>
      </c>
    </row>
    <row r="48" spans="1:1" x14ac:dyDescent="0.2">
      <c r="A48" s="2" t="s">
        <v>452</v>
      </c>
    </row>
    <row r="49" spans="1:1" x14ac:dyDescent="0.2">
      <c r="A49" s="2" t="s">
        <v>453</v>
      </c>
    </row>
    <row r="50" spans="1:1" x14ac:dyDescent="0.2">
      <c r="A50" s="2" t="s">
        <v>454</v>
      </c>
    </row>
    <row r="51" spans="1:1" x14ac:dyDescent="0.2">
      <c r="A51" s="2" t="s">
        <v>455</v>
      </c>
    </row>
    <row r="52" spans="1:1" x14ac:dyDescent="0.2">
      <c r="A52" s="2" t="s">
        <v>456</v>
      </c>
    </row>
    <row r="53" spans="1:1" x14ac:dyDescent="0.2">
      <c r="A53" s="2" t="s">
        <v>457</v>
      </c>
    </row>
    <row r="54" spans="1:1" x14ac:dyDescent="0.2">
      <c r="A54" s="2" t="s">
        <v>458</v>
      </c>
    </row>
    <row r="55" spans="1:1" x14ac:dyDescent="0.2">
      <c r="A55" s="2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89F8-F16F-154D-94FF-256DFC0FDD8E}">
  <sheetPr codeName="Sheet2"/>
  <dimension ref="A1:C10"/>
  <sheetViews>
    <sheetView workbookViewId="0">
      <selection activeCell="C9" sqref="C9"/>
    </sheetView>
  </sheetViews>
  <sheetFormatPr baseColWidth="10" defaultRowHeight="16" x14ac:dyDescent="0.2"/>
  <cols>
    <col min="2" max="2" width="59.1640625" bestFit="1" customWidth="1"/>
  </cols>
  <sheetData>
    <row r="1" spans="1:3" x14ac:dyDescent="0.2">
      <c r="A1" t="s">
        <v>465</v>
      </c>
    </row>
    <row r="2" spans="1:3" x14ac:dyDescent="0.2">
      <c r="A2">
        <v>1</v>
      </c>
      <c r="B2" t="s">
        <v>466</v>
      </c>
      <c r="C2" t="s">
        <v>497</v>
      </c>
    </row>
    <row r="3" spans="1:3" x14ac:dyDescent="0.2">
      <c r="A3">
        <v>2</v>
      </c>
      <c r="B3" t="s">
        <v>467</v>
      </c>
      <c r="C3" t="s">
        <v>497</v>
      </c>
    </row>
    <row r="4" spans="1:3" x14ac:dyDescent="0.2">
      <c r="A4">
        <v>3</v>
      </c>
      <c r="B4" t="s">
        <v>489</v>
      </c>
      <c r="C4" t="s">
        <v>497</v>
      </c>
    </row>
    <row r="5" spans="1:3" x14ac:dyDescent="0.2">
      <c r="A5">
        <v>4</v>
      </c>
      <c r="B5" t="s">
        <v>468</v>
      </c>
      <c r="C5" t="s">
        <v>497</v>
      </c>
    </row>
    <row r="6" spans="1:3" x14ac:dyDescent="0.2">
      <c r="A6">
        <v>5</v>
      </c>
      <c r="B6" t="s">
        <v>469</v>
      </c>
    </row>
    <row r="7" spans="1:3" x14ac:dyDescent="0.2">
      <c r="A7" t="s">
        <v>470</v>
      </c>
      <c r="B7" t="s">
        <v>488</v>
      </c>
      <c r="C7" t="s">
        <v>497</v>
      </c>
    </row>
    <row r="8" spans="1:3" x14ac:dyDescent="0.2">
      <c r="A8" t="s">
        <v>471</v>
      </c>
      <c r="B8" t="s">
        <v>472</v>
      </c>
      <c r="C8" t="s">
        <v>497</v>
      </c>
    </row>
    <row r="9" spans="1:3" x14ac:dyDescent="0.2">
      <c r="A9" t="s">
        <v>477</v>
      </c>
      <c r="B9" t="s">
        <v>490</v>
      </c>
    </row>
    <row r="10" spans="1:3" x14ac:dyDescent="0.2">
      <c r="B10" t="s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A2F7-6771-FF48-BDD1-E069975760EF}">
  <sheetPr codeName="Sheet8"/>
  <dimension ref="A1:A3"/>
  <sheetViews>
    <sheetView workbookViewId="0"/>
  </sheetViews>
  <sheetFormatPr baseColWidth="10" defaultRowHeight="16" x14ac:dyDescent="0.2"/>
  <cols>
    <col min="1" max="1" width="12.5" bestFit="1" customWidth="1"/>
  </cols>
  <sheetData>
    <row r="1" spans="1:1" x14ac:dyDescent="0.2">
      <c r="A1" t="s">
        <v>410</v>
      </c>
    </row>
    <row r="2" spans="1:1" x14ac:dyDescent="0.2">
      <c r="A2">
        <v>2024</v>
      </c>
    </row>
    <row r="3" spans="1:1" x14ac:dyDescent="0.2">
      <c r="A3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E1AF-0765-1E41-9078-AF38B89D2BC4}">
  <sheetPr codeName="Sheet3"/>
  <dimension ref="A1:E20"/>
  <sheetViews>
    <sheetView workbookViewId="0">
      <selection activeCell="A17" sqref="A17"/>
    </sheetView>
  </sheetViews>
  <sheetFormatPr baseColWidth="10" defaultRowHeight="16" x14ac:dyDescent="0.2"/>
  <cols>
    <col min="1" max="1" width="8.5" bestFit="1" customWidth="1"/>
    <col min="2" max="2" width="12.5" bestFit="1" customWidth="1"/>
    <col min="3" max="3" width="10.1640625" bestFit="1" customWidth="1"/>
    <col min="4" max="4" width="17.83203125" bestFit="1" customWidth="1"/>
  </cols>
  <sheetData>
    <row r="1" spans="1:5" x14ac:dyDescent="0.2">
      <c r="A1" t="s">
        <v>413</v>
      </c>
      <c r="B1" t="s">
        <v>410</v>
      </c>
      <c r="C1" t="s">
        <v>411</v>
      </c>
      <c r="D1" t="s">
        <v>412</v>
      </c>
      <c r="E1" t="s">
        <v>493</v>
      </c>
    </row>
    <row r="2" spans="1:5" x14ac:dyDescent="0.2">
      <c r="A2" s="1">
        <v>44945</v>
      </c>
      <c r="B2">
        <v>2023</v>
      </c>
      <c r="C2" s="1">
        <v>44945</v>
      </c>
      <c r="D2" t="s">
        <v>415</v>
      </c>
      <c r="E2" t="s">
        <v>496</v>
      </c>
    </row>
    <row r="3" spans="1:5" x14ac:dyDescent="0.2">
      <c r="A3" s="1">
        <v>44980</v>
      </c>
      <c r="B3">
        <v>2023</v>
      </c>
      <c r="C3" s="1">
        <v>44980</v>
      </c>
      <c r="D3" t="s">
        <v>415</v>
      </c>
      <c r="E3" t="s">
        <v>496</v>
      </c>
    </row>
    <row r="4" spans="1:5" x14ac:dyDescent="0.2">
      <c r="A4" s="1">
        <v>45001</v>
      </c>
      <c r="B4">
        <v>2023</v>
      </c>
      <c r="C4" s="1">
        <v>45001</v>
      </c>
      <c r="D4" t="s">
        <v>415</v>
      </c>
      <c r="E4" t="s">
        <v>496</v>
      </c>
    </row>
    <row r="5" spans="1:5" x14ac:dyDescent="0.2">
      <c r="A5" s="1">
        <v>45029</v>
      </c>
      <c r="B5">
        <v>2023</v>
      </c>
      <c r="C5" s="1">
        <v>45029</v>
      </c>
      <c r="D5" t="s">
        <v>415</v>
      </c>
      <c r="E5" t="s">
        <v>496</v>
      </c>
    </row>
    <row r="6" spans="1:5" x14ac:dyDescent="0.2">
      <c r="A6" s="1">
        <v>45050</v>
      </c>
      <c r="B6">
        <v>2023</v>
      </c>
      <c r="C6" s="1">
        <v>45050</v>
      </c>
      <c r="D6" t="s">
        <v>415</v>
      </c>
      <c r="E6" t="s">
        <v>506</v>
      </c>
    </row>
    <row r="7" spans="1:5" x14ac:dyDescent="0.2">
      <c r="A7" s="1">
        <v>45099</v>
      </c>
      <c r="B7">
        <v>2023</v>
      </c>
      <c r="C7" s="1">
        <v>45099</v>
      </c>
      <c r="D7" t="s">
        <v>415</v>
      </c>
      <c r="E7" t="s">
        <v>496</v>
      </c>
    </row>
    <row r="8" spans="1:5" x14ac:dyDescent="0.2">
      <c r="A8" s="1">
        <v>45120</v>
      </c>
      <c r="B8">
        <v>2023</v>
      </c>
      <c r="C8" s="1">
        <v>45120</v>
      </c>
      <c r="D8" t="s">
        <v>415</v>
      </c>
      <c r="E8" t="s">
        <v>496</v>
      </c>
    </row>
    <row r="9" spans="1:5" x14ac:dyDescent="0.2">
      <c r="A9" s="1">
        <v>45141</v>
      </c>
      <c r="B9">
        <v>2023</v>
      </c>
      <c r="C9" s="1">
        <v>45141</v>
      </c>
      <c r="D9" t="s">
        <v>415</v>
      </c>
      <c r="E9" t="s">
        <v>496</v>
      </c>
    </row>
    <row r="10" spans="1:5" x14ac:dyDescent="0.2">
      <c r="A10" s="1">
        <v>45183</v>
      </c>
      <c r="B10">
        <v>2023</v>
      </c>
      <c r="C10" s="1">
        <v>45183</v>
      </c>
      <c r="D10" t="s">
        <v>415</v>
      </c>
      <c r="E10" t="s">
        <v>496</v>
      </c>
    </row>
    <row r="11" spans="1:5" x14ac:dyDescent="0.2">
      <c r="A11" s="1">
        <v>45218</v>
      </c>
      <c r="B11">
        <v>2023</v>
      </c>
      <c r="C11" s="1">
        <v>45218</v>
      </c>
      <c r="D11" t="s">
        <v>415</v>
      </c>
      <c r="E11" t="s">
        <v>496</v>
      </c>
    </row>
    <row r="12" spans="1:5" x14ac:dyDescent="0.2">
      <c r="A12" s="1">
        <v>45253</v>
      </c>
      <c r="B12">
        <v>2023</v>
      </c>
      <c r="C12" s="1">
        <v>45253</v>
      </c>
      <c r="D12" t="s">
        <v>415</v>
      </c>
      <c r="E12" t="s">
        <v>506</v>
      </c>
    </row>
    <row r="13" spans="1:5" x14ac:dyDescent="0.2">
      <c r="A13" s="1">
        <v>45266</v>
      </c>
      <c r="B13">
        <v>2023</v>
      </c>
      <c r="C13" s="1">
        <v>45266</v>
      </c>
      <c r="D13" t="s">
        <v>414</v>
      </c>
      <c r="E13" t="s">
        <v>496</v>
      </c>
    </row>
    <row r="14" spans="1:5" x14ac:dyDescent="0.2">
      <c r="A14" s="1">
        <v>45317</v>
      </c>
      <c r="B14">
        <v>2024</v>
      </c>
      <c r="C14" s="1">
        <v>45317</v>
      </c>
      <c r="D14" t="s">
        <v>414</v>
      </c>
      <c r="E14" t="s">
        <v>496</v>
      </c>
    </row>
    <row r="15" spans="1:5" x14ac:dyDescent="0.2">
      <c r="A15" s="1">
        <v>45345</v>
      </c>
      <c r="B15">
        <v>2024</v>
      </c>
      <c r="C15" s="1">
        <v>45345</v>
      </c>
      <c r="D15" t="s">
        <v>414</v>
      </c>
      <c r="E15" t="s">
        <v>496</v>
      </c>
    </row>
    <row r="16" spans="1:5" x14ac:dyDescent="0.2">
      <c r="A16" s="1">
        <v>45373</v>
      </c>
      <c r="B16">
        <v>2024</v>
      </c>
      <c r="C16" s="1">
        <v>45373</v>
      </c>
      <c r="D16" t="s">
        <v>414</v>
      </c>
      <c r="E16" t="s">
        <v>496</v>
      </c>
    </row>
    <row r="17" spans="1:5" x14ac:dyDescent="0.2">
      <c r="A17" s="1">
        <v>45408</v>
      </c>
      <c r="B17">
        <v>2024</v>
      </c>
      <c r="C17" s="1">
        <v>45408</v>
      </c>
      <c r="D17" t="s">
        <v>414</v>
      </c>
      <c r="E17" t="s">
        <v>486</v>
      </c>
    </row>
    <row r="18" spans="1:5" x14ac:dyDescent="0.2">
      <c r="A18" s="1">
        <v>45443</v>
      </c>
      <c r="B18">
        <v>2024</v>
      </c>
      <c r="C18" s="1">
        <v>45443</v>
      </c>
      <c r="D18" t="s">
        <v>414</v>
      </c>
      <c r="E18" t="s">
        <v>486</v>
      </c>
    </row>
    <row r="19" spans="1:5" x14ac:dyDescent="0.2">
      <c r="A19" s="1">
        <v>45471</v>
      </c>
      <c r="B19">
        <v>2024</v>
      </c>
      <c r="C19" s="1">
        <v>45471</v>
      </c>
      <c r="D19" t="s">
        <v>414</v>
      </c>
      <c r="E19" t="s">
        <v>506</v>
      </c>
    </row>
    <row r="20" spans="1:5" x14ac:dyDescent="0.2">
      <c r="A20" s="1">
        <v>45499</v>
      </c>
      <c r="B20">
        <v>2024</v>
      </c>
      <c r="C20" s="1">
        <v>45499</v>
      </c>
      <c r="D20" t="s">
        <v>414</v>
      </c>
      <c r="E20" t="s">
        <v>486</v>
      </c>
    </row>
  </sheetData>
  <autoFilter ref="A1:E1" xr:uid="{2EB3E1AF-0765-1E41-9078-AF38B89D2BC4}">
    <sortState xmlns:xlrd2="http://schemas.microsoft.com/office/spreadsheetml/2017/richdata2" ref="A2:E19">
      <sortCondition ref="A1:A1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0BD6-D09D-5149-B420-26B9FA012345}">
  <sheetPr codeName="Sheet4"/>
  <dimension ref="A1:E221"/>
  <sheetViews>
    <sheetView topLeftCell="A48" zoomScaleNormal="100" workbookViewId="0">
      <selection activeCell="A71" sqref="A71"/>
    </sheetView>
  </sheetViews>
  <sheetFormatPr baseColWidth="10" defaultRowHeight="16" x14ac:dyDescent="0.2"/>
  <cols>
    <col min="1" max="2" width="19" bestFit="1" customWidth="1"/>
    <col min="4" max="4" width="13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416</v>
      </c>
    </row>
    <row r="2" spans="1:5" x14ac:dyDescent="0.2">
      <c r="A2" t="s">
        <v>4</v>
      </c>
      <c r="B2" t="s">
        <v>5</v>
      </c>
      <c r="C2" t="s">
        <v>508</v>
      </c>
      <c r="D2" t="s">
        <v>6</v>
      </c>
      <c r="E2" t="s">
        <v>417</v>
      </c>
    </row>
    <row r="3" spans="1:5" x14ac:dyDescent="0.2">
      <c r="A3" t="s">
        <v>5</v>
      </c>
      <c r="B3" t="s">
        <v>5</v>
      </c>
      <c r="C3" t="s">
        <v>508</v>
      </c>
      <c r="D3" t="s">
        <v>6</v>
      </c>
      <c r="E3" t="s">
        <v>417</v>
      </c>
    </row>
    <row r="4" spans="1:5" x14ac:dyDescent="0.2">
      <c r="A4" t="s">
        <v>7</v>
      </c>
      <c r="B4" t="s">
        <v>7</v>
      </c>
      <c r="C4" t="s">
        <v>509</v>
      </c>
      <c r="D4" t="s">
        <v>8</v>
      </c>
      <c r="E4" t="s">
        <v>417</v>
      </c>
    </row>
    <row r="5" spans="1:5" x14ac:dyDescent="0.2">
      <c r="A5" t="s">
        <v>9</v>
      </c>
      <c r="B5" t="s">
        <v>7</v>
      </c>
      <c r="C5" t="s">
        <v>509</v>
      </c>
      <c r="D5" t="s">
        <v>8</v>
      </c>
      <c r="E5" t="s">
        <v>417</v>
      </c>
    </row>
    <row r="6" spans="1:5" x14ac:dyDescent="0.2">
      <c r="A6" t="s">
        <v>10</v>
      </c>
      <c r="B6" t="s">
        <v>11</v>
      </c>
      <c r="C6" t="s">
        <v>510</v>
      </c>
      <c r="D6" t="s">
        <v>12</v>
      </c>
      <c r="E6" t="s">
        <v>417</v>
      </c>
    </row>
    <row r="7" spans="1:5" x14ac:dyDescent="0.2">
      <c r="A7" t="s">
        <v>11</v>
      </c>
      <c r="B7" t="s">
        <v>11</v>
      </c>
      <c r="C7" t="s">
        <v>510</v>
      </c>
      <c r="D7" t="s">
        <v>12</v>
      </c>
      <c r="E7" t="s">
        <v>417</v>
      </c>
    </row>
    <row r="8" spans="1:5" x14ac:dyDescent="0.2">
      <c r="A8" t="s">
        <v>13</v>
      </c>
      <c r="B8" t="s">
        <v>14</v>
      </c>
      <c r="C8" t="s">
        <v>511</v>
      </c>
      <c r="D8" t="s">
        <v>15</v>
      </c>
      <c r="E8" t="s">
        <v>417</v>
      </c>
    </row>
    <row r="9" spans="1:5" x14ac:dyDescent="0.2">
      <c r="A9" t="s">
        <v>14</v>
      </c>
      <c r="B9" t="s">
        <v>14</v>
      </c>
      <c r="C9" t="s">
        <v>511</v>
      </c>
      <c r="D9" t="s">
        <v>15</v>
      </c>
      <c r="E9" t="s">
        <v>417</v>
      </c>
    </row>
    <row r="10" spans="1:5" x14ac:dyDescent="0.2">
      <c r="A10" t="s">
        <v>16</v>
      </c>
      <c r="B10" t="s">
        <v>16</v>
      </c>
      <c r="C10" t="s">
        <v>512</v>
      </c>
      <c r="D10" t="s">
        <v>17</v>
      </c>
      <c r="E10" t="s">
        <v>417</v>
      </c>
    </row>
    <row r="11" spans="1:5" x14ac:dyDescent="0.2">
      <c r="A11" t="s">
        <v>18</v>
      </c>
      <c r="B11" t="s">
        <v>18</v>
      </c>
      <c r="C11" t="s">
        <v>513</v>
      </c>
      <c r="D11" t="s">
        <v>19</v>
      </c>
      <c r="E11" t="s">
        <v>417</v>
      </c>
    </row>
    <row r="12" spans="1:5" x14ac:dyDescent="0.2">
      <c r="A12" t="s">
        <v>20</v>
      </c>
      <c r="B12" t="s">
        <v>20</v>
      </c>
      <c r="C12" t="s">
        <v>514</v>
      </c>
      <c r="D12" t="s">
        <v>21</v>
      </c>
      <c r="E12" t="s">
        <v>417</v>
      </c>
    </row>
    <row r="13" spans="1:5" x14ac:dyDescent="0.2">
      <c r="A13" t="s">
        <v>22</v>
      </c>
      <c r="B13" t="s">
        <v>22</v>
      </c>
      <c r="C13" t="s">
        <v>507</v>
      </c>
      <c r="D13" t="s">
        <v>23</v>
      </c>
      <c r="E13" t="s">
        <v>417</v>
      </c>
    </row>
    <row r="14" spans="1:5" x14ac:dyDescent="0.2">
      <c r="A14" t="s">
        <v>24</v>
      </c>
      <c r="B14" t="s">
        <v>24</v>
      </c>
      <c r="C14" t="s">
        <v>515</v>
      </c>
      <c r="D14" t="s">
        <v>25</v>
      </c>
      <c r="E14" t="s">
        <v>417</v>
      </c>
    </row>
    <row r="15" spans="1:5" x14ac:dyDescent="0.2">
      <c r="A15" t="s">
        <v>26</v>
      </c>
      <c r="B15" t="s">
        <v>26</v>
      </c>
      <c r="C15" t="s">
        <v>516</v>
      </c>
      <c r="D15" t="s">
        <v>27</v>
      </c>
      <c r="E15" t="s">
        <v>417</v>
      </c>
    </row>
    <row r="16" spans="1:5" x14ac:dyDescent="0.2">
      <c r="A16" t="s">
        <v>28</v>
      </c>
      <c r="B16" t="s">
        <v>28</v>
      </c>
      <c r="C16" t="s">
        <v>517</v>
      </c>
      <c r="D16" t="s">
        <v>29</v>
      </c>
      <c r="E16" t="s">
        <v>417</v>
      </c>
    </row>
    <row r="17" spans="1:5" x14ac:dyDescent="0.2">
      <c r="A17" t="s">
        <v>30</v>
      </c>
      <c r="B17" t="s">
        <v>30</v>
      </c>
      <c r="C17" t="s">
        <v>518</v>
      </c>
      <c r="D17" t="s">
        <v>31</v>
      </c>
      <c r="E17" t="s">
        <v>417</v>
      </c>
    </row>
    <row r="18" spans="1:5" x14ac:dyDescent="0.2">
      <c r="A18" t="s">
        <v>32</v>
      </c>
      <c r="B18" t="s">
        <v>32</v>
      </c>
      <c r="C18" t="s">
        <v>518</v>
      </c>
      <c r="D18" t="s">
        <v>33</v>
      </c>
      <c r="E18" t="s">
        <v>417</v>
      </c>
    </row>
    <row r="19" spans="1:5" x14ac:dyDescent="0.2">
      <c r="A19" t="s">
        <v>34</v>
      </c>
      <c r="B19" t="s">
        <v>34</v>
      </c>
      <c r="C19" t="s">
        <v>519</v>
      </c>
      <c r="D19" t="s">
        <v>35</v>
      </c>
      <c r="E19" t="s">
        <v>417</v>
      </c>
    </row>
    <row r="20" spans="1:5" x14ac:dyDescent="0.2">
      <c r="A20" t="s">
        <v>36</v>
      </c>
      <c r="B20" t="s">
        <v>36</v>
      </c>
      <c r="C20" t="s">
        <v>520</v>
      </c>
      <c r="D20" t="s">
        <v>37</v>
      </c>
      <c r="E20" t="s">
        <v>417</v>
      </c>
    </row>
    <row r="21" spans="1:5" x14ac:dyDescent="0.2">
      <c r="A21" t="s">
        <v>38</v>
      </c>
      <c r="B21" t="s">
        <v>38</v>
      </c>
      <c r="C21" t="s">
        <v>521</v>
      </c>
      <c r="D21" t="s">
        <v>39</v>
      </c>
      <c r="E21" t="s">
        <v>417</v>
      </c>
    </row>
    <row r="22" spans="1:5" x14ac:dyDescent="0.2">
      <c r="A22" t="s">
        <v>40</v>
      </c>
      <c r="B22" t="s">
        <v>40</v>
      </c>
      <c r="C22" t="s">
        <v>521</v>
      </c>
      <c r="D22" t="s">
        <v>41</v>
      </c>
      <c r="E22" t="s">
        <v>417</v>
      </c>
    </row>
    <row r="23" spans="1:5" x14ac:dyDescent="0.2">
      <c r="A23" t="s">
        <v>42</v>
      </c>
      <c r="B23" t="s">
        <v>42</v>
      </c>
      <c r="C23" t="s">
        <v>373</v>
      </c>
      <c r="D23" t="s">
        <v>43</v>
      </c>
      <c r="E23" t="s">
        <v>417</v>
      </c>
    </row>
    <row r="24" spans="1:5" x14ac:dyDescent="0.2">
      <c r="A24" t="s">
        <v>44</v>
      </c>
      <c r="B24" t="s">
        <v>44</v>
      </c>
      <c r="C24" t="s">
        <v>522</v>
      </c>
      <c r="D24" t="s">
        <v>25</v>
      </c>
      <c r="E24" t="s">
        <v>418</v>
      </c>
    </row>
    <row r="25" spans="1:5" x14ac:dyDescent="0.2">
      <c r="A25" t="s">
        <v>45</v>
      </c>
      <c r="B25" t="s">
        <v>45</v>
      </c>
      <c r="C25" t="s">
        <v>523</v>
      </c>
      <c r="D25" t="s">
        <v>46</v>
      </c>
      <c r="E25" t="s">
        <v>418</v>
      </c>
    </row>
    <row r="26" spans="1:5" x14ac:dyDescent="0.2">
      <c r="A26" t="s">
        <v>47</v>
      </c>
      <c r="B26" t="s">
        <v>47</v>
      </c>
      <c r="C26" t="s">
        <v>524</v>
      </c>
      <c r="D26" t="s">
        <v>48</v>
      </c>
      <c r="E26" t="s">
        <v>417</v>
      </c>
    </row>
    <row r="27" spans="1:5" x14ac:dyDescent="0.2">
      <c r="A27" t="s">
        <v>49</v>
      </c>
      <c r="B27" t="s">
        <v>49</v>
      </c>
      <c r="C27" t="s">
        <v>524</v>
      </c>
      <c r="D27" t="s">
        <v>50</v>
      </c>
      <c r="E27" t="s">
        <v>417</v>
      </c>
    </row>
    <row r="28" spans="1:5" x14ac:dyDescent="0.2">
      <c r="A28" t="s">
        <v>51</v>
      </c>
      <c r="B28" t="s">
        <v>51</v>
      </c>
      <c r="C28" t="s">
        <v>525</v>
      </c>
      <c r="D28" t="s">
        <v>52</v>
      </c>
      <c r="E28" t="s">
        <v>418</v>
      </c>
    </row>
    <row r="29" spans="1:5" x14ac:dyDescent="0.2">
      <c r="A29" t="s">
        <v>53</v>
      </c>
      <c r="B29" t="s">
        <v>53</v>
      </c>
      <c r="C29" t="s">
        <v>526</v>
      </c>
      <c r="D29" t="s">
        <v>54</v>
      </c>
      <c r="E29" t="s">
        <v>417</v>
      </c>
    </row>
    <row r="30" spans="1:5" x14ac:dyDescent="0.2">
      <c r="A30" t="s">
        <v>55</v>
      </c>
      <c r="B30" t="s">
        <v>55</v>
      </c>
      <c r="C30" t="s">
        <v>527</v>
      </c>
      <c r="D30" t="s">
        <v>56</v>
      </c>
      <c r="E30" t="s">
        <v>417</v>
      </c>
    </row>
    <row r="31" spans="1:5" x14ac:dyDescent="0.2">
      <c r="A31" t="s">
        <v>57</v>
      </c>
      <c r="B31" t="s">
        <v>57</v>
      </c>
      <c r="C31" t="s">
        <v>528</v>
      </c>
      <c r="D31" t="s">
        <v>58</v>
      </c>
      <c r="E31" t="s">
        <v>417</v>
      </c>
    </row>
    <row r="32" spans="1:5" x14ac:dyDescent="0.2">
      <c r="A32" t="s">
        <v>59</v>
      </c>
      <c r="B32" t="s">
        <v>59</v>
      </c>
      <c r="C32" t="s">
        <v>529</v>
      </c>
      <c r="D32" t="s">
        <v>60</v>
      </c>
      <c r="E32" t="s">
        <v>417</v>
      </c>
    </row>
    <row r="33" spans="1:5" x14ac:dyDescent="0.2">
      <c r="A33" t="s">
        <v>61</v>
      </c>
      <c r="B33" t="s">
        <v>61</v>
      </c>
      <c r="C33" t="s">
        <v>530</v>
      </c>
      <c r="D33" t="s">
        <v>62</v>
      </c>
      <c r="E33" t="s">
        <v>417</v>
      </c>
    </row>
    <row r="34" spans="1:5" x14ac:dyDescent="0.2">
      <c r="A34" t="s">
        <v>63</v>
      </c>
      <c r="B34" t="s">
        <v>63</v>
      </c>
      <c r="C34" t="s">
        <v>531</v>
      </c>
      <c r="D34" t="s">
        <v>64</v>
      </c>
      <c r="E34" t="s">
        <v>417</v>
      </c>
    </row>
    <row r="35" spans="1:5" x14ac:dyDescent="0.2">
      <c r="A35" t="s">
        <v>65</v>
      </c>
      <c r="B35" t="s">
        <v>65</v>
      </c>
      <c r="C35" t="s">
        <v>532</v>
      </c>
      <c r="D35" t="s">
        <v>66</v>
      </c>
      <c r="E35" t="s">
        <v>417</v>
      </c>
    </row>
    <row r="36" spans="1:5" x14ac:dyDescent="0.2">
      <c r="A36" t="s">
        <v>67</v>
      </c>
      <c r="B36" t="s">
        <v>67</v>
      </c>
      <c r="C36" t="s">
        <v>533</v>
      </c>
      <c r="D36" t="s">
        <v>68</v>
      </c>
      <c r="E36" t="s">
        <v>417</v>
      </c>
    </row>
    <row r="37" spans="1:5" x14ac:dyDescent="0.2">
      <c r="A37" t="s">
        <v>69</v>
      </c>
      <c r="B37" t="s">
        <v>69</v>
      </c>
      <c r="C37" t="s">
        <v>533</v>
      </c>
      <c r="D37" t="s">
        <v>70</v>
      </c>
      <c r="E37" t="s">
        <v>417</v>
      </c>
    </row>
    <row r="38" spans="1:5" x14ac:dyDescent="0.2">
      <c r="A38" t="s">
        <v>71</v>
      </c>
      <c r="B38" t="s">
        <v>71</v>
      </c>
      <c r="C38" t="s">
        <v>534</v>
      </c>
      <c r="D38" t="s">
        <v>72</v>
      </c>
      <c r="E38" t="s">
        <v>417</v>
      </c>
    </row>
    <row r="39" spans="1:5" x14ac:dyDescent="0.2">
      <c r="A39" t="s">
        <v>73</v>
      </c>
      <c r="B39" t="s">
        <v>73</v>
      </c>
      <c r="C39" t="s">
        <v>535</v>
      </c>
      <c r="D39" t="s">
        <v>74</v>
      </c>
      <c r="E39" t="s">
        <v>417</v>
      </c>
    </row>
    <row r="40" spans="1:5" x14ac:dyDescent="0.2">
      <c r="A40" t="s">
        <v>75</v>
      </c>
      <c r="B40" t="s">
        <v>75</v>
      </c>
      <c r="C40" t="s">
        <v>536</v>
      </c>
      <c r="D40" t="s">
        <v>76</v>
      </c>
      <c r="E40" t="s">
        <v>417</v>
      </c>
    </row>
    <row r="41" spans="1:5" x14ac:dyDescent="0.2">
      <c r="A41" t="s">
        <v>77</v>
      </c>
      <c r="B41" t="s">
        <v>77</v>
      </c>
      <c r="C41" t="s">
        <v>536</v>
      </c>
      <c r="D41" t="s">
        <v>78</v>
      </c>
      <c r="E41" t="s">
        <v>417</v>
      </c>
    </row>
    <row r="42" spans="1:5" x14ac:dyDescent="0.2">
      <c r="A42" t="s">
        <v>79</v>
      </c>
      <c r="B42" t="s">
        <v>79</v>
      </c>
      <c r="C42" t="s">
        <v>536</v>
      </c>
      <c r="D42" t="s">
        <v>80</v>
      </c>
      <c r="E42" t="s">
        <v>417</v>
      </c>
    </row>
    <row r="43" spans="1:5" x14ac:dyDescent="0.2">
      <c r="A43" t="s">
        <v>81</v>
      </c>
      <c r="B43" t="s">
        <v>81</v>
      </c>
      <c r="C43" t="s">
        <v>536</v>
      </c>
      <c r="D43" t="s">
        <v>82</v>
      </c>
      <c r="E43" t="s">
        <v>417</v>
      </c>
    </row>
    <row r="44" spans="1:5" x14ac:dyDescent="0.2">
      <c r="A44" t="s">
        <v>83</v>
      </c>
      <c r="B44" t="s">
        <v>83</v>
      </c>
      <c r="C44" t="s">
        <v>536</v>
      </c>
      <c r="D44" t="s">
        <v>84</v>
      </c>
      <c r="E44" t="s">
        <v>417</v>
      </c>
    </row>
    <row r="45" spans="1:5" x14ac:dyDescent="0.2">
      <c r="A45" t="s">
        <v>85</v>
      </c>
      <c r="B45" t="s">
        <v>85</v>
      </c>
      <c r="C45" t="s">
        <v>536</v>
      </c>
      <c r="D45" t="s">
        <v>86</v>
      </c>
      <c r="E45" t="s">
        <v>417</v>
      </c>
    </row>
    <row r="46" spans="1:5" x14ac:dyDescent="0.2">
      <c r="A46" t="s">
        <v>87</v>
      </c>
      <c r="B46" t="s">
        <v>87</v>
      </c>
      <c r="C46" t="s">
        <v>537</v>
      </c>
      <c r="D46" t="s">
        <v>88</v>
      </c>
      <c r="E46" t="s">
        <v>418</v>
      </c>
    </row>
    <row r="47" spans="1:5" x14ac:dyDescent="0.2">
      <c r="A47" t="s">
        <v>89</v>
      </c>
      <c r="B47" t="s">
        <v>89</v>
      </c>
      <c r="C47" t="s">
        <v>538</v>
      </c>
      <c r="D47" t="s">
        <v>82</v>
      </c>
      <c r="E47" t="s">
        <v>417</v>
      </c>
    </row>
    <row r="48" spans="1:5" x14ac:dyDescent="0.2">
      <c r="A48" t="s">
        <v>90</v>
      </c>
      <c r="B48" t="s">
        <v>90</v>
      </c>
      <c r="C48" t="s">
        <v>539</v>
      </c>
      <c r="D48" t="s">
        <v>91</v>
      </c>
      <c r="E48" t="s">
        <v>418</v>
      </c>
    </row>
    <row r="49" spans="1:5" x14ac:dyDescent="0.2">
      <c r="A49" t="s">
        <v>92</v>
      </c>
      <c r="B49" t="s">
        <v>92</v>
      </c>
      <c r="C49" t="s">
        <v>540</v>
      </c>
      <c r="D49" t="s">
        <v>93</v>
      </c>
      <c r="E49" t="s">
        <v>417</v>
      </c>
    </row>
    <row r="50" spans="1:5" x14ac:dyDescent="0.2">
      <c r="A50" t="s">
        <v>94</v>
      </c>
      <c r="B50" t="s">
        <v>94</v>
      </c>
      <c r="C50" t="s">
        <v>541</v>
      </c>
      <c r="D50" t="s">
        <v>95</v>
      </c>
      <c r="E50" t="s">
        <v>417</v>
      </c>
    </row>
    <row r="51" spans="1:5" x14ac:dyDescent="0.2">
      <c r="A51" t="s">
        <v>96</v>
      </c>
      <c r="B51" t="s">
        <v>96</v>
      </c>
      <c r="C51" t="s">
        <v>541</v>
      </c>
      <c r="D51" t="s">
        <v>97</v>
      </c>
      <c r="E51" t="s">
        <v>417</v>
      </c>
    </row>
    <row r="52" spans="1:5" x14ac:dyDescent="0.2">
      <c r="A52" t="s">
        <v>98</v>
      </c>
      <c r="B52" t="s">
        <v>98</v>
      </c>
      <c r="C52" t="s">
        <v>541</v>
      </c>
      <c r="D52" t="s">
        <v>99</v>
      </c>
      <c r="E52" t="s">
        <v>417</v>
      </c>
    </row>
    <row r="53" spans="1:5" x14ac:dyDescent="0.2">
      <c r="A53" t="s">
        <v>100</v>
      </c>
      <c r="B53" t="s">
        <v>100</v>
      </c>
      <c r="C53" t="s">
        <v>542</v>
      </c>
      <c r="D53" t="s">
        <v>101</v>
      </c>
      <c r="E53" t="s">
        <v>417</v>
      </c>
    </row>
    <row r="54" spans="1:5" x14ac:dyDescent="0.2">
      <c r="A54" t="s">
        <v>102</v>
      </c>
      <c r="B54" t="s">
        <v>102</v>
      </c>
      <c r="C54" t="s">
        <v>542</v>
      </c>
      <c r="D54" t="s">
        <v>103</v>
      </c>
      <c r="E54" t="s">
        <v>417</v>
      </c>
    </row>
    <row r="55" spans="1:5" x14ac:dyDescent="0.2">
      <c r="A55" t="s">
        <v>104</v>
      </c>
      <c r="B55" t="s">
        <v>104</v>
      </c>
      <c r="C55" t="s">
        <v>543</v>
      </c>
      <c r="D55" t="s">
        <v>105</v>
      </c>
      <c r="E55" t="s">
        <v>417</v>
      </c>
    </row>
    <row r="56" spans="1:5" x14ac:dyDescent="0.2">
      <c r="A56" t="s">
        <v>106</v>
      </c>
      <c r="B56" t="s">
        <v>106</v>
      </c>
      <c r="C56" t="s">
        <v>543</v>
      </c>
      <c r="D56" t="s">
        <v>107</v>
      </c>
      <c r="E56" t="s">
        <v>417</v>
      </c>
    </row>
    <row r="57" spans="1:5" x14ac:dyDescent="0.2">
      <c r="A57" t="s">
        <v>108</v>
      </c>
      <c r="B57" t="s">
        <v>108</v>
      </c>
      <c r="C57" t="s">
        <v>543</v>
      </c>
      <c r="D57" t="s">
        <v>109</v>
      </c>
      <c r="E57" t="s">
        <v>417</v>
      </c>
    </row>
    <row r="58" spans="1:5" x14ac:dyDescent="0.2">
      <c r="A58" t="s">
        <v>110</v>
      </c>
      <c r="B58" t="s">
        <v>110</v>
      </c>
      <c r="C58" t="s">
        <v>543</v>
      </c>
      <c r="D58" t="s">
        <v>111</v>
      </c>
      <c r="E58" t="s">
        <v>417</v>
      </c>
    </row>
    <row r="59" spans="1:5" x14ac:dyDescent="0.2">
      <c r="A59" t="s">
        <v>112</v>
      </c>
      <c r="B59" t="s">
        <v>112</v>
      </c>
      <c r="C59" t="s">
        <v>544</v>
      </c>
      <c r="D59" t="s">
        <v>113</v>
      </c>
      <c r="E59" t="s">
        <v>417</v>
      </c>
    </row>
    <row r="60" spans="1:5" x14ac:dyDescent="0.2">
      <c r="A60" t="s">
        <v>114</v>
      </c>
      <c r="B60" t="s">
        <v>114</v>
      </c>
      <c r="C60" t="s">
        <v>545</v>
      </c>
      <c r="D60" t="s">
        <v>115</v>
      </c>
      <c r="E60" t="s">
        <v>417</v>
      </c>
    </row>
    <row r="61" spans="1:5" x14ac:dyDescent="0.2">
      <c r="A61" t="s">
        <v>116</v>
      </c>
      <c r="B61" t="s">
        <v>116</v>
      </c>
      <c r="C61" t="s">
        <v>546</v>
      </c>
      <c r="D61" t="s">
        <v>117</v>
      </c>
      <c r="E61" t="s">
        <v>417</v>
      </c>
    </row>
    <row r="62" spans="1:5" x14ac:dyDescent="0.2">
      <c r="A62" t="s">
        <v>118</v>
      </c>
      <c r="B62" t="s">
        <v>118</v>
      </c>
      <c r="C62" t="s">
        <v>547</v>
      </c>
      <c r="D62" t="s">
        <v>119</v>
      </c>
      <c r="E62" t="s">
        <v>417</v>
      </c>
    </row>
    <row r="63" spans="1:5" x14ac:dyDescent="0.2">
      <c r="A63" t="s">
        <v>120</v>
      </c>
      <c r="B63" t="s">
        <v>120</v>
      </c>
      <c r="C63" t="s">
        <v>548</v>
      </c>
      <c r="D63" t="s">
        <v>121</v>
      </c>
      <c r="E63" t="s">
        <v>417</v>
      </c>
    </row>
    <row r="64" spans="1:5" x14ac:dyDescent="0.2">
      <c r="A64" t="s">
        <v>122</v>
      </c>
      <c r="B64" t="s">
        <v>122</v>
      </c>
      <c r="C64" t="s">
        <v>549</v>
      </c>
      <c r="D64" t="s">
        <v>123</v>
      </c>
      <c r="E64" t="s">
        <v>417</v>
      </c>
    </row>
    <row r="65" spans="1:5" x14ac:dyDescent="0.2">
      <c r="A65" t="s">
        <v>124</v>
      </c>
      <c r="B65" t="s">
        <v>124</v>
      </c>
      <c r="C65" t="s">
        <v>550</v>
      </c>
      <c r="D65" t="s">
        <v>125</v>
      </c>
      <c r="E65" t="s">
        <v>417</v>
      </c>
    </row>
    <row r="66" spans="1:5" x14ac:dyDescent="0.2">
      <c r="A66" t="s">
        <v>126</v>
      </c>
      <c r="B66" t="s">
        <v>126</v>
      </c>
      <c r="C66" t="s">
        <v>551</v>
      </c>
      <c r="D66" t="s">
        <v>127</v>
      </c>
      <c r="E66" t="s">
        <v>417</v>
      </c>
    </row>
    <row r="67" spans="1:5" x14ac:dyDescent="0.2">
      <c r="A67" t="s">
        <v>128</v>
      </c>
      <c r="B67" t="s">
        <v>128</v>
      </c>
      <c r="C67" t="s">
        <v>552</v>
      </c>
      <c r="D67" t="s">
        <v>129</v>
      </c>
      <c r="E67" t="s">
        <v>417</v>
      </c>
    </row>
    <row r="68" spans="1:5" x14ac:dyDescent="0.2">
      <c r="A68" t="s">
        <v>130</v>
      </c>
      <c r="B68" t="s">
        <v>130</v>
      </c>
      <c r="C68" t="s">
        <v>552</v>
      </c>
      <c r="D68" t="s">
        <v>131</v>
      </c>
      <c r="E68" t="s">
        <v>417</v>
      </c>
    </row>
    <row r="69" spans="1:5" x14ac:dyDescent="0.2">
      <c r="A69" t="s">
        <v>132</v>
      </c>
      <c r="B69" t="s">
        <v>132</v>
      </c>
      <c r="C69" t="s">
        <v>553</v>
      </c>
      <c r="D69" t="s">
        <v>133</v>
      </c>
      <c r="E69" t="s">
        <v>417</v>
      </c>
    </row>
    <row r="70" spans="1:5" x14ac:dyDescent="0.2">
      <c r="A70" t="s">
        <v>134</v>
      </c>
      <c r="B70" t="s">
        <v>134</v>
      </c>
      <c r="C70" t="s">
        <v>553</v>
      </c>
      <c r="D70" t="s">
        <v>135</v>
      </c>
      <c r="E70" t="s">
        <v>417</v>
      </c>
    </row>
    <row r="71" spans="1:5" x14ac:dyDescent="0.2">
      <c r="A71" t="s">
        <v>136</v>
      </c>
      <c r="B71" t="s">
        <v>136</v>
      </c>
      <c r="C71" t="s">
        <v>554</v>
      </c>
      <c r="D71" t="s">
        <v>25</v>
      </c>
      <c r="E71" t="s">
        <v>417</v>
      </c>
    </row>
    <row r="72" spans="1:5" x14ac:dyDescent="0.2">
      <c r="A72" t="s">
        <v>137</v>
      </c>
      <c r="B72" t="s">
        <v>137</v>
      </c>
      <c r="C72" t="s">
        <v>555</v>
      </c>
      <c r="D72" t="s">
        <v>138</v>
      </c>
      <c r="E72" t="s">
        <v>417</v>
      </c>
    </row>
    <row r="73" spans="1:5" x14ac:dyDescent="0.2">
      <c r="A73" t="s">
        <v>139</v>
      </c>
      <c r="B73" t="s">
        <v>139</v>
      </c>
      <c r="C73" t="s">
        <v>556</v>
      </c>
      <c r="D73" t="s">
        <v>140</v>
      </c>
      <c r="E73" t="s">
        <v>417</v>
      </c>
    </row>
    <row r="74" spans="1:5" x14ac:dyDescent="0.2">
      <c r="A74" t="s">
        <v>141</v>
      </c>
      <c r="B74" t="s">
        <v>141</v>
      </c>
      <c r="C74" t="s">
        <v>557</v>
      </c>
      <c r="D74" t="s">
        <v>142</v>
      </c>
      <c r="E74" t="s">
        <v>417</v>
      </c>
    </row>
    <row r="75" spans="1:5" x14ac:dyDescent="0.2">
      <c r="A75" t="s">
        <v>143</v>
      </c>
      <c r="B75" t="s">
        <v>143</v>
      </c>
      <c r="C75" t="s">
        <v>558</v>
      </c>
      <c r="D75" t="s">
        <v>144</v>
      </c>
      <c r="E75" t="s">
        <v>417</v>
      </c>
    </row>
    <row r="76" spans="1:5" x14ac:dyDescent="0.2">
      <c r="A76" t="s">
        <v>145</v>
      </c>
      <c r="B76" t="s">
        <v>145</v>
      </c>
      <c r="C76" t="s">
        <v>559</v>
      </c>
      <c r="D76" t="s">
        <v>146</v>
      </c>
      <c r="E76" t="s">
        <v>417</v>
      </c>
    </row>
    <row r="77" spans="1:5" x14ac:dyDescent="0.2">
      <c r="A77" t="s">
        <v>147</v>
      </c>
      <c r="B77" t="s">
        <v>147</v>
      </c>
      <c r="C77" t="s">
        <v>560</v>
      </c>
      <c r="D77" t="s">
        <v>148</v>
      </c>
      <c r="E77" t="s">
        <v>417</v>
      </c>
    </row>
    <row r="78" spans="1:5" x14ac:dyDescent="0.2">
      <c r="A78" t="s">
        <v>149</v>
      </c>
      <c r="B78" t="s">
        <v>149</v>
      </c>
      <c r="C78" t="s">
        <v>561</v>
      </c>
      <c r="D78" t="s">
        <v>150</v>
      </c>
      <c r="E78" t="s">
        <v>417</v>
      </c>
    </row>
    <row r="79" spans="1:5" x14ac:dyDescent="0.2">
      <c r="A79" t="s">
        <v>151</v>
      </c>
      <c r="B79" t="s">
        <v>151</v>
      </c>
      <c r="C79" t="s">
        <v>562</v>
      </c>
      <c r="D79" t="s">
        <v>152</v>
      </c>
      <c r="E79" t="s">
        <v>417</v>
      </c>
    </row>
    <row r="80" spans="1:5" x14ac:dyDescent="0.2">
      <c r="A80" t="s">
        <v>153</v>
      </c>
      <c r="B80" t="s">
        <v>153</v>
      </c>
      <c r="C80" t="s">
        <v>562</v>
      </c>
      <c r="D80" t="s">
        <v>154</v>
      </c>
      <c r="E80" t="s">
        <v>417</v>
      </c>
    </row>
    <row r="81" spans="1:5" x14ac:dyDescent="0.2">
      <c r="A81" t="s">
        <v>155</v>
      </c>
      <c r="B81" t="s">
        <v>155</v>
      </c>
      <c r="C81" t="s">
        <v>563</v>
      </c>
      <c r="D81" t="s">
        <v>156</v>
      </c>
      <c r="E81" t="s">
        <v>417</v>
      </c>
    </row>
    <row r="82" spans="1:5" x14ac:dyDescent="0.2">
      <c r="A82" t="s">
        <v>157</v>
      </c>
      <c r="B82" t="s">
        <v>157</v>
      </c>
      <c r="C82" t="s">
        <v>564</v>
      </c>
      <c r="D82" t="s">
        <v>48</v>
      </c>
      <c r="E82" t="s">
        <v>417</v>
      </c>
    </row>
    <row r="83" spans="1:5" x14ac:dyDescent="0.2">
      <c r="A83" t="s">
        <v>158</v>
      </c>
      <c r="B83" t="s">
        <v>158</v>
      </c>
      <c r="C83" t="s">
        <v>565</v>
      </c>
      <c r="D83" t="s">
        <v>159</v>
      </c>
      <c r="E83" t="s">
        <v>417</v>
      </c>
    </row>
    <row r="84" spans="1:5" x14ac:dyDescent="0.2">
      <c r="A84" t="s">
        <v>160</v>
      </c>
      <c r="B84" t="s">
        <v>160</v>
      </c>
      <c r="C84" t="s">
        <v>239</v>
      </c>
      <c r="D84" t="s">
        <v>101</v>
      </c>
      <c r="E84" t="s">
        <v>417</v>
      </c>
    </row>
    <row r="85" spans="1:5" x14ac:dyDescent="0.2">
      <c r="A85" t="s">
        <v>161</v>
      </c>
      <c r="B85" t="s">
        <v>161</v>
      </c>
      <c r="C85" t="s">
        <v>566</v>
      </c>
      <c r="D85" t="s">
        <v>162</v>
      </c>
      <c r="E85" t="s">
        <v>417</v>
      </c>
    </row>
    <row r="86" spans="1:5" x14ac:dyDescent="0.2">
      <c r="A86" t="s">
        <v>163</v>
      </c>
      <c r="B86" t="s">
        <v>163</v>
      </c>
      <c r="C86" t="s">
        <v>567</v>
      </c>
      <c r="D86" t="s">
        <v>164</v>
      </c>
      <c r="E86" t="s">
        <v>417</v>
      </c>
    </row>
    <row r="87" spans="1:5" x14ac:dyDescent="0.2">
      <c r="A87" t="s">
        <v>165</v>
      </c>
      <c r="B87" t="s">
        <v>165</v>
      </c>
      <c r="C87" t="s">
        <v>567</v>
      </c>
      <c r="D87" t="s">
        <v>166</v>
      </c>
      <c r="E87" t="s">
        <v>417</v>
      </c>
    </row>
    <row r="88" spans="1:5" x14ac:dyDescent="0.2">
      <c r="A88" t="s">
        <v>167</v>
      </c>
      <c r="B88" t="s">
        <v>167</v>
      </c>
      <c r="C88" t="s">
        <v>567</v>
      </c>
      <c r="D88" t="s">
        <v>52</v>
      </c>
      <c r="E88" t="s">
        <v>417</v>
      </c>
    </row>
    <row r="89" spans="1:5" x14ac:dyDescent="0.2">
      <c r="A89" t="s">
        <v>168</v>
      </c>
      <c r="B89" t="s">
        <v>168</v>
      </c>
      <c r="C89" t="s">
        <v>568</v>
      </c>
      <c r="D89" t="s">
        <v>169</v>
      </c>
      <c r="E89" t="s">
        <v>418</v>
      </c>
    </row>
    <row r="90" spans="1:5" x14ac:dyDescent="0.2">
      <c r="A90" t="s">
        <v>170</v>
      </c>
      <c r="B90" t="s">
        <v>170</v>
      </c>
      <c r="C90" t="s">
        <v>569</v>
      </c>
      <c r="D90" t="s">
        <v>171</v>
      </c>
      <c r="E90" t="s">
        <v>417</v>
      </c>
    </row>
    <row r="91" spans="1:5" x14ac:dyDescent="0.2">
      <c r="A91" t="s">
        <v>172</v>
      </c>
      <c r="B91" t="s">
        <v>172</v>
      </c>
      <c r="C91" t="s">
        <v>570</v>
      </c>
      <c r="D91" t="s">
        <v>173</v>
      </c>
      <c r="E91" t="s">
        <v>417</v>
      </c>
    </row>
    <row r="92" spans="1:5" x14ac:dyDescent="0.2">
      <c r="A92" t="s">
        <v>174</v>
      </c>
      <c r="B92" t="s">
        <v>174</v>
      </c>
      <c r="C92" t="s">
        <v>510</v>
      </c>
      <c r="D92" t="s">
        <v>175</v>
      </c>
      <c r="E92" t="s">
        <v>417</v>
      </c>
    </row>
    <row r="93" spans="1:5" x14ac:dyDescent="0.2">
      <c r="A93" t="s">
        <v>176</v>
      </c>
      <c r="B93" t="s">
        <v>176</v>
      </c>
      <c r="C93" t="s">
        <v>510</v>
      </c>
      <c r="D93" t="s">
        <v>177</v>
      </c>
      <c r="E93" t="s">
        <v>417</v>
      </c>
    </row>
    <row r="94" spans="1:5" x14ac:dyDescent="0.2">
      <c r="A94" t="s">
        <v>178</v>
      </c>
      <c r="B94" t="s">
        <v>178</v>
      </c>
      <c r="C94" t="s">
        <v>571</v>
      </c>
      <c r="D94" t="s">
        <v>179</v>
      </c>
      <c r="E94" t="s">
        <v>417</v>
      </c>
    </row>
    <row r="95" spans="1:5" x14ac:dyDescent="0.2">
      <c r="A95" t="s">
        <v>180</v>
      </c>
      <c r="B95" t="s">
        <v>180</v>
      </c>
      <c r="C95" t="s">
        <v>572</v>
      </c>
      <c r="D95" t="s">
        <v>181</v>
      </c>
      <c r="E95" t="s">
        <v>418</v>
      </c>
    </row>
    <row r="96" spans="1:5" x14ac:dyDescent="0.2">
      <c r="A96" t="s">
        <v>182</v>
      </c>
      <c r="B96" t="s">
        <v>182</v>
      </c>
      <c r="C96" t="s">
        <v>573</v>
      </c>
      <c r="D96" t="s">
        <v>183</v>
      </c>
      <c r="E96" t="s">
        <v>417</v>
      </c>
    </row>
    <row r="97" spans="1:5" x14ac:dyDescent="0.2">
      <c r="A97" t="s">
        <v>184</v>
      </c>
      <c r="B97" t="s">
        <v>184</v>
      </c>
      <c r="C97" t="s">
        <v>573</v>
      </c>
      <c r="D97" t="s">
        <v>185</v>
      </c>
      <c r="E97" t="s">
        <v>417</v>
      </c>
    </row>
    <row r="98" spans="1:5" x14ac:dyDescent="0.2">
      <c r="A98" t="s">
        <v>186</v>
      </c>
      <c r="B98" t="s">
        <v>186</v>
      </c>
      <c r="C98" t="s">
        <v>574</v>
      </c>
      <c r="D98" t="s">
        <v>187</v>
      </c>
      <c r="E98" t="s">
        <v>417</v>
      </c>
    </row>
    <row r="99" spans="1:5" x14ac:dyDescent="0.2">
      <c r="A99" t="s">
        <v>188</v>
      </c>
      <c r="B99" t="s">
        <v>188</v>
      </c>
      <c r="C99" t="s">
        <v>575</v>
      </c>
      <c r="D99" t="s">
        <v>189</v>
      </c>
      <c r="E99" t="s">
        <v>418</v>
      </c>
    </row>
    <row r="100" spans="1:5" x14ac:dyDescent="0.2">
      <c r="A100" t="s">
        <v>190</v>
      </c>
      <c r="B100" t="s">
        <v>190</v>
      </c>
      <c r="C100" t="s">
        <v>576</v>
      </c>
      <c r="D100" t="s">
        <v>191</v>
      </c>
      <c r="E100" t="s">
        <v>417</v>
      </c>
    </row>
    <row r="101" spans="1:5" x14ac:dyDescent="0.2">
      <c r="A101" t="s">
        <v>192</v>
      </c>
      <c r="B101" t="s">
        <v>192</v>
      </c>
      <c r="C101" t="s">
        <v>577</v>
      </c>
      <c r="D101" t="s">
        <v>193</v>
      </c>
      <c r="E101" t="s">
        <v>417</v>
      </c>
    </row>
    <row r="102" spans="1:5" x14ac:dyDescent="0.2">
      <c r="A102" t="s">
        <v>194</v>
      </c>
      <c r="B102" t="s">
        <v>194</v>
      </c>
      <c r="C102" t="s">
        <v>578</v>
      </c>
      <c r="D102" t="s">
        <v>25</v>
      </c>
      <c r="E102" t="s">
        <v>417</v>
      </c>
    </row>
    <row r="103" spans="1:5" x14ac:dyDescent="0.2">
      <c r="A103" t="s">
        <v>195</v>
      </c>
      <c r="B103" t="s">
        <v>195</v>
      </c>
      <c r="C103" t="s">
        <v>579</v>
      </c>
      <c r="D103" t="s">
        <v>196</v>
      </c>
      <c r="E103" t="s">
        <v>417</v>
      </c>
    </row>
    <row r="104" spans="1:5" x14ac:dyDescent="0.2">
      <c r="A104" t="s">
        <v>197</v>
      </c>
      <c r="B104" t="s">
        <v>197</v>
      </c>
      <c r="C104" t="s">
        <v>579</v>
      </c>
      <c r="D104" t="s">
        <v>198</v>
      </c>
      <c r="E104" t="s">
        <v>417</v>
      </c>
    </row>
    <row r="105" spans="1:5" x14ac:dyDescent="0.2">
      <c r="A105" t="s">
        <v>199</v>
      </c>
      <c r="B105" t="s">
        <v>199</v>
      </c>
      <c r="C105" t="s">
        <v>579</v>
      </c>
      <c r="D105" t="s">
        <v>200</v>
      </c>
      <c r="E105" t="s">
        <v>417</v>
      </c>
    </row>
    <row r="106" spans="1:5" x14ac:dyDescent="0.2">
      <c r="A106" t="s">
        <v>201</v>
      </c>
      <c r="B106" t="s">
        <v>201</v>
      </c>
      <c r="C106" t="s">
        <v>580</v>
      </c>
      <c r="D106" t="s">
        <v>202</v>
      </c>
      <c r="E106" t="s">
        <v>417</v>
      </c>
    </row>
    <row r="107" spans="1:5" x14ac:dyDescent="0.2">
      <c r="A107" t="s">
        <v>203</v>
      </c>
      <c r="B107" t="s">
        <v>203</v>
      </c>
      <c r="C107" t="s">
        <v>581</v>
      </c>
      <c r="D107" t="s">
        <v>204</v>
      </c>
      <c r="E107" t="s">
        <v>417</v>
      </c>
    </row>
    <row r="108" spans="1:5" x14ac:dyDescent="0.2">
      <c r="A108" t="s">
        <v>205</v>
      </c>
      <c r="B108" t="s">
        <v>205</v>
      </c>
      <c r="C108" t="s">
        <v>582</v>
      </c>
      <c r="D108" t="s">
        <v>206</v>
      </c>
      <c r="E108" t="s">
        <v>417</v>
      </c>
    </row>
    <row r="109" spans="1:5" x14ac:dyDescent="0.2">
      <c r="A109" t="s">
        <v>207</v>
      </c>
      <c r="B109" t="s">
        <v>207</v>
      </c>
      <c r="C109" t="s">
        <v>583</v>
      </c>
      <c r="D109" t="s">
        <v>208</v>
      </c>
      <c r="E109" t="s">
        <v>417</v>
      </c>
    </row>
    <row r="110" spans="1:5" x14ac:dyDescent="0.2">
      <c r="A110" t="s">
        <v>209</v>
      </c>
      <c r="B110" t="s">
        <v>209</v>
      </c>
      <c r="C110" t="s">
        <v>584</v>
      </c>
      <c r="D110" t="s">
        <v>210</v>
      </c>
      <c r="E110" t="s">
        <v>417</v>
      </c>
    </row>
    <row r="111" spans="1:5" x14ac:dyDescent="0.2">
      <c r="A111" t="s">
        <v>211</v>
      </c>
      <c r="B111" t="s">
        <v>211</v>
      </c>
      <c r="C111" t="s">
        <v>585</v>
      </c>
      <c r="D111" t="s">
        <v>212</v>
      </c>
      <c r="E111" t="s">
        <v>417</v>
      </c>
    </row>
    <row r="112" spans="1:5" x14ac:dyDescent="0.2">
      <c r="A112" t="s">
        <v>213</v>
      </c>
      <c r="B112" t="s">
        <v>213</v>
      </c>
      <c r="C112" t="s">
        <v>585</v>
      </c>
      <c r="D112" t="s">
        <v>113</v>
      </c>
      <c r="E112" t="s">
        <v>417</v>
      </c>
    </row>
    <row r="113" spans="1:5" x14ac:dyDescent="0.2">
      <c r="A113" t="s">
        <v>214</v>
      </c>
      <c r="B113" t="s">
        <v>214</v>
      </c>
      <c r="C113" t="s">
        <v>586</v>
      </c>
      <c r="D113" t="s">
        <v>215</v>
      </c>
      <c r="E113" t="s">
        <v>417</v>
      </c>
    </row>
    <row r="114" spans="1:5" x14ac:dyDescent="0.2">
      <c r="A114" t="s">
        <v>216</v>
      </c>
      <c r="B114" t="s">
        <v>216</v>
      </c>
      <c r="C114" t="s">
        <v>587</v>
      </c>
      <c r="D114" t="s">
        <v>217</v>
      </c>
      <c r="E114" t="s">
        <v>417</v>
      </c>
    </row>
    <row r="115" spans="1:5" x14ac:dyDescent="0.2">
      <c r="A115" t="s">
        <v>218</v>
      </c>
      <c r="B115" t="s">
        <v>218</v>
      </c>
      <c r="C115" t="s">
        <v>588</v>
      </c>
      <c r="D115" t="s">
        <v>219</v>
      </c>
      <c r="E115" t="s">
        <v>417</v>
      </c>
    </row>
    <row r="116" spans="1:5" x14ac:dyDescent="0.2">
      <c r="A116" t="s">
        <v>220</v>
      </c>
      <c r="B116" t="s">
        <v>220</v>
      </c>
      <c r="C116" t="s">
        <v>589</v>
      </c>
      <c r="D116" t="s">
        <v>221</v>
      </c>
      <c r="E116" t="s">
        <v>418</v>
      </c>
    </row>
    <row r="117" spans="1:5" x14ac:dyDescent="0.2">
      <c r="A117" t="s">
        <v>222</v>
      </c>
      <c r="B117" t="s">
        <v>222</v>
      </c>
      <c r="C117" t="s">
        <v>590</v>
      </c>
      <c r="D117" t="s">
        <v>223</v>
      </c>
      <c r="E117" t="s">
        <v>417</v>
      </c>
    </row>
    <row r="118" spans="1:5" x14ac:dyDescent="0.2">
      <c r="A118" t="s">
        <v>224</v>
      </c>
      <c r="B118" t="s">
        <v>224</v>
      </c>
      <c r="C118" t="s">
        <v>591</v>
      </c>
      <c r="D118" t="s">
        <v>225</v>
      </c>
      <c r="E118" t="s">
        <v>417</v>
      </c>
    </row>
    <row r="119" spans="1:5" x14ac:dyDescent="0.2">
      <c r="A119" t="s">
        <v>226</v>
      </c>
      <c r="B119" t="s">
        <v>226</v>
      </c>
      <c r="C119" t="s">
        <v>592</v>
      </c>
      <c r="D119" t="s">
        <v>227</v>
      </c>
      <c r="E119" t="s">
        <v>417</v>
      </c>
    </row>
    <row r="120" spans="1:5" x14ac:dyDescent="0.2">
      <c r="A120" t="s">
        <v>228</v>
      </c>
      <c r="B120" t="s">
        <v>228</v>
      </c>
      <c r="C120" t="s">
        <v>593</v>
      </c>
      <c r="D120" t="s">
        <v>229</v>
      </c>
      <c r="E120" t="s">
        <v>417</v>
      </c>
    </row>
    <row r="121" spans="1:5" x14ac:dyDescent="0.2">
      <c r="A121" t="s">
        <v>230</v>
      </c>
      <c r="B121" t="s">
        <v>230</v>
      </c>
      <c r="C121" t="s">
        <v>594</v>
      </c>
      <c r="D121" t="s">
        <v>231</v>
      </c>
      <c r="E121" t="s">
        <v>417</v>
      </c>
    </row>
    <row r="122" spans="1:5" x14ac:dyDescent="0.2">
      <c r="A122" t="s">
        <v>232</v>
      </c>
      <c r="B122" t="s">
        <v>232</v>
      </c>
      <c r="C122" t="s">
        <v>595</v>
      </c>
      <c r="D122" t="s">
        <v>233</v>
      </c>
      <c r="E122" t="s">
        <v>417</v>
      </c>
    </row>
    <row r="123" spans="1:5" x14ac:dyDescent="0.2">
      <c r="A123" t="s">
        <v>234</v>
      </c>
      <c r="B123" t="s">
        <v>234</v>
      </c>
      <c r="C123" t="s">
        <v>596</v>
      </c>
      <c r="D123" t="s">
        <v>235</v>
      </c>
      <c r="E123" t="s">
        <v>417</v>
      </c>
    </row>
    <row r="124" spans="1:5" x14ac:dyDescent="0.2">
      <c r="A124" t="s">
        <v>236</v>
      </c>
      <c r="B124" t="s">
        <v>236</v>
      </c>
      <c r="C124" t="s">
        <v>597</v>
      </c>
      <c r="D124" t="s">
        <v>237</v>
      </c>
      <c r="E124" t="s">
        <v>418</v>
      </c>
    </row>
    <row r="125" spans="1:5" x14ac:dyDescent="0.2">
      <c r="A125" t="s">
        <v>238</v>
      </c>
      <c r="B125" t="s">
        <v>238</v>
      </c>
      <c r="C125" t="s">
        <v>101</v>
      </c>
      <c r="D125" t="s">
        <v>239</v>
      </c>
      <c r="E125" t="s">
        <v>417</v>
      </c>
    </row>
    <row r="126" spans="1:5" x14ac:dyDescent="0.2">
      <c r="A126" t="s">
        <v>240</v>
      </c>
      <c r="B126" t="s">
        <v>240</v>
      </c>
      <c r="C126" t="s">
        <v>598</v>
      </c>
      <c r="D126" t="s">
        <v>241</v>
      </c>
      <c r="E126" t="s">
        <v>417</v>
      </c>
    </row>
    <row r="127" spans="1:5" x14ac:dyDescent="0.2">
      <c r="A127" t="s">
        <v>242</v>
      </c>
      <c r="B127" t="s">
        <v>242</v>
      </c>
      <c r="C127" t="s">
        <v>599</v>
      </c>
      <c r="D127" t="s">
        <v>243</v>
      </c>
      <c r="E127" t="s">
        <v>417</v>
      </c>
    </row>
    <row r="128" spans="1:5" x14ac:dyDescent="0.2">
      <c r="A128" t="s">
        <v>244</v>
      </c>
      <c r="B128" t="s">
        <v>244</v>
      </c>
      <c r="C128" t="s">
        <v>599</v>
      </c>
      <c r="D128" t="s">
        <v>245</v>
      </c>
      <c r="E128" t="s">
        <v>417</v>
      </c>
    </row>
    <row r="129" spans="1:5" x14ac:dyDescent="0.2">
      <c r="A129" t="s">
        <v>246</v>
      </c>
      <c r="B129" t="s">
        <v>246</v>
      </c>
      <c r="C129" t="s">
        <v>600</v>
      </c>
      <c r="D129" t="s">
        <v>247</v>
      </c>
      <c r="E129" t="s">
        <v>418</v>
      </c>
    </row>
    <row r="130" spans="1:5" x14ac:dyDescent="0.2">
      <c r="A130" t="s">
        <v>248</v>
      </c>
      <c r="B130" t="s">
        <v>248</v>
      </c>
      <c r="C130" t="s">
        <v>601</v>
      </c>
      <c r="D130" t="s">
        <v>249</v>
      </c>
      <c r="E130" t="s">
        <v>417</v>
      </c>
    </row>
    <row r="131" spans="1:5" x14ac:dyDescent="0.2">
      <c r="A131" t="s">
        <v>250</v>
      </c>
      <c r="B131" t="s">
        <v>250</v>
      </c>
      <c r="C131" t="s">
        <v>602</v>
      </c>
      <c r="D131" t="s">
        <v>251</v>
      </c>
      <c r="E131" t="s">
        <v>417</v>
      </c>
    </row>
    <row r="132" spans="1:5" x14ac:dyDescent="0.2">
      <c r="A132" t="s">
        <v>252</v>
      </c>
      <c r="B132" t="s">
        <v>252</v>
      </c>
      <c r="C132" t="s">
        <v>603</v>
      </c>
      <c r="D132" t="s">
        <v>253</v>
      </c>
      <c r="E132" t="s">
        <v>417</v>
      </c>
    </row>
    <row r="133" spans="1:5" x14ac:dyDescent="0.2">
      <c r="A133" t="s">
        <v>254</v>
      </c>
      <c r="B133" t="s">
        <v>254</v>
      </c>
      <c r="C133" t="s">
        <v>603</v>
      </c>
      <c r="D133" t="s">
        <v>62</v>
      </c>
      <c r="E133" t="s">
        <v>417</v>
      </c>
    </row>
    <row r="134" spans="1:5" x14ac:dyDescent="0.2">
      <c r="A134" t="s">
        <v>255</v>
      </c>
      <c r="B134" t="s">
        <v>255</v>
      </c>
      <c r="C134" t="s">
        <v>604</v>
      </c>
      <c r="D134" t="s">
        <v>256</v>
      </c>
      <c r="E134" t="s">
        <v>417</v>
      </c>
    </row>
    <row r="135" spans="1:5" x14ac:dyDescent="0.2">
      <c r="A135" t="s">
        <v>257</v>
      </c>
      <c r="B135" t="s">
        <v>257</v>
      </c>
      <c r="C135" t="s">
        <v>604</v>
      </c>
      <c r="D135" t="s">
        <v>258</v>
      </c>
      <c r="E135" t="s">
        <v>417</v>
      </c>
    </row>
    <row r="136" spans="1:5" x14ac:dyDescent="0.2">
      <c r="A136" t="s">
        <v>259</v>
      </c>
      <c r="B136" t="s">
        <v>259</v>
      </c>
      <c r="C136" t="s">
        <v>605</v>
      </c>
      <c r="D136" t="s">
        <v>260</v>
      </c>
      <c r="E136" t="s">
        <v>417</v>
      </c>
    </row>
    <row r="137" spans="1:5" x14ac:dyDescent="0.2">
      <c r="A137" t="s">
        <v>261</v>
      </c>
      <c r="B137" t="s">
        <v>261</v>
      </c>
      <c r="C137" t="s">
        <v>605</v>
      </c>
      <c r="D137" t="s">
        <v>262</v>
      </c>
      <c r="E137" t="s">
        <v>417</v>
      </c>
    </row>
    <row r="138" spans="1:5" x14ac:dyDescent="0.2">
      <c r="A138" t="s">
        <v>263</v>
      </c>
      <c r="B138" t="s">
        <v>263</v>
      </c>
      <c r="C138" t="s">
        <v>606</v>
      </c>
      <c r="D138" t="s">
        <v>91</v>
      </c>
      <c r="E138" t="s">
        <v>417</v>
      </c>
    </row>
    <row r="139" spans="1:5" x14ac:dyDescent="0.2">
      <c r="A139" t="s">
        <v>264</v>
      </c>
      <c r="B139" t="s">
        <v>264</v>
      </c>
      <c r="C139" t="s">
        <v>607</v>
      </c>
      <c r="D139" t="s">
        <v>265</v>
      </c>
      <c r="E139" t="s">
        <v>417</v>
      </c>
    </row>
    <row r="140" spans="1:5" x14ac:dyDescent="0.2">
      <c r="A140" t="s">
        <v>266</v>
      </c>
      <c r="B140" t="s">
        <v>266</v>
      </c>
      <c r="C140" t="s">
        <v>608</v>
      </c>
      <c r="D140" t="s">
        <v>267</v>
      </c>
      <c r="E140" t="s">
        <v>417</v>
      </c>
    </row>
    <row r="141" spans="1:5" x14ac:dyDescent="0.2">
      <c r="A141" t="s">
        <v>268</v>
      </c>
      <c r="B141" t="s">
        <v>268</v>
      </c>
      <c r="C141" t="s">
        <v>609</v>
      </c>
      <c r="D141" t="s">
        <v>269</v>
      </c>
      <c r="E141" t="s">
        <v>417</v>
      </c>
    </row>
    <row r="142" spans="1:5" x14ac:dyDescent="0.2">
      <c r="A142" t="s">
        <v>270</v>
      </c>
      <c r="B142" t="s">
        <v>270</v>
      </c>
      <c r="C142" t="s">
        <v>610</v>
      </c>
      <c r="D142" t="s">
        <v>271</v>
      </c>
      <c r="E142" t="s">
        <v>417</v>
      </c>
    </row>
    <row r="143" spans="1:5" x14ac:dyDescent="0.2">
      <c r="A143" t="s">
        <v>272</v>
      </c>
      <c r="B143" t="s">
        <v>272</v>
      </c>
      <c r="C143" t="s">
        <v>611</v>
      </c>
      <c r="D143" t="s">
        <v>273</v>
      </c>
      <c r="E143" t="s">
        <v>417</v>
      </c>
    </row>
    <row r="144" spans="1:5" x14ac:dyDescent="0.2">
      <c r="A144" t="s">
        <v>274</v>
      </c>
      <c r="B144" t="s">
        <v>274</v>
      </c>
      <c r="C144" t="s">
        <v>612</v>
      </c>
      <c r="D144" t="s">
        <v>275</v>
      </c>
      <c r="E144" t="s">
        <v>417</v>
      </c>
    </row>
    <row r="145" spans="1:5" x14ac:dyDescent="0.2">
      <c r="A145" t="s">
        <v>276</v>
      </c>
      <c r="B145" t="s">
        <v>276</v>
      </c>
      <c r="C145" t="s">
        <v>613</v>
      </c>
      <c r="D145" t="s">
        <v>277</v>
      </c>
      <c r="E145" t="s">
        <v>417</v>
      </c>
    </row>
    <row r="146" spans="1:5" x14ac:dyDescent="0.2">
      <c r="A146" t="s">
        <v>278</v>
      </c>
      <c r="B146" t="s">
        <v>278</v>
      </c>
      <c r="C146" t="s">
        <v>614</v>
      </c>
      <c r="D146" t="s">
        <v>279</v>
      </c>
      <c r="E146" t="s">
        <v>417</v>
      </c>
    </row>
    <row r="147" spans="1:5" x14ac:dyDescent="0.2">
      <c r="A147" t="s">
        <v>280</v>
      </c>
      <c r="B147" t="s">
        <v>280</v>
      </c>
      <c r="C147" t="s">
        <v>614</v>
      </c>
      <c r="D147" t="s">
        <v>281</v>
      </c>
      <c r="E147" t="s">
        <v>417</v>
      </c>
    </row>
    <row r="148" spans="1:5" x14ac:dyDescent="0.2">
      <c r="A148" t="s">
        <v>282</v>
      </c>
      <c r="B148" t="s">
        <v>282</v>
      </c>
      <c r="C148" t="s">
        <v>615</v>
      </c>
      <c r="D148" t="s">
        <v>283</v>
      </c>
      <c r="E148" t="s">
        <v>417</v>
      </c>
    </row>
    <row r="149" spans="1:5" x14ac:dyDescent="0.2">
      <c r="A149" t="s">
        <v>284</v>
      </c>
      <c r="B149" t="s">
        <v>284</v>
      </c>
      <c r="C149" t="s">
        <v>616</v>
      </c>
      <c r="D149" t="s">
        <v>285</v>
      </c>
      <c r="E149" t="s">
        <v>417</v>
      </c>
    </row>
    <row r="150" spans="1:5" x14ac:dyDescent="0.2">
      <c r="A150" t="s">
        <v>286</v>
      </c>
      <c r="B150" t="s">
        <v>286</v>
      </c>
      <c r="C150" t="s">
        <v>617</v>
      </c>
      <c r="D150" t="s">
        <v>287</v>
      </c>
      <c r="E150" t="s">
        <v>417</v>
      </c>
    </row>
    <row r="151" spans="1:5" x14ac:dyDescent="0.2">
      <c r="A151" t="s">
        <v>288</v>
      </c>
      <c r="B151" t="s">
        <v>288</v>
      </c>
      <c r="C151" t="s">
        <v>618</v>
      </c>
      <c r="D151" t="s">
        <v>289</v>
      </c>
      <c r="E151" t="s">
        <v>417</v>
      </c>
    </row>
    <row r="152" spans="1:5" x14ac:dyDescent="0.2">
      <c r="A152" t="s">
        <v>290</v>
      </c>
      <c r="B152" t="s">
        <v>290</v>
      </c>
      <c r="C152" t="s">
        <v>619</v>
      </c>
      <c r="D152" t="s">
        <v>291</v>
      </c>
      <c r="E152" t="s">
        <v>417</v>
      </c>
    </row>
    <row r="153" spans="1:5" x14ac:dyDescent="0.2">
      <c r="A153" t="s">
        <v>292</v>
      </c>
      <c r="B153" t="s">
        <v>292</v>
      </c>
      <c r="C153" t="s">
        <v>619</v>
      </c>
      <c r="D153" t="s">
        <v>293</v>
      </c>
      <c r="E153" t="s">
        <v>417</v>
      </c>
    </row>
    <row r="154" spans="1:5" x14ac:dyDescent="0.2">
      <c r="A154" t="s">
        <v>294</v>
      </c>
      <c r="B154" t="s">
        <v>294</v>
      </c>
      <c r="C154" t="s">
        <v>620</v>
      </c>
      <c r="D154" t="s">
        <v>295</v>
      </c>
      <c r="E154" t="s">
        <v>417</v>
      </c>
    </row>
    <row r="155" spans="1:5" x14ac:dyDescent="0.2">
      <c r="A155" t="s">
        <v>296</v>
      </c>
      <c r="B155" t="s">
        <v>296</v>
      </c>
      <c r="C155" t="s">
        <v>620</v>
      </c>
      <c r="D155" t="s">
        <v>297</v>
      </c>
      <c r="E155" t="s">
        <v>417</v>
      </c>
    </row>
    <row r="156" spans="1:5" x14ac:dyDescent="0.2">
      <c r="A156" t="s">
        <v>298</v>
      </c>
      <c r="B156" t="s">
        <v>298</v>
      </c>
      <c r="C156" t="s">
        <v>620</v>
      </c>
      <c r="D156" t="s">
        <v>299</v>
      </c>
      <c r="E156" t="s">
        <v>417</v>
      </c>
    </row>
    <row r="157" spans="1:5" x14ac:dyDescent="0.2">
      <c r="A157" t="s">
        <v>300</v>
      </c>
      <c r="B157" t="s">
        <v>300</v>
      </c>
      <c r="C157" t="s">
        <v>621</v>
      </c>
      <c r="D157" t="s">
        <v>301</v>
      </c>
      <c r="E157" t="s">
        <v>417</v>
      </c>
    </row>
    <row r="158" spans="1:5" x14ac:dyDescent="0.2">
      <c r="A158" t="s">
        <v>302</v>
      </c>
      <c r="B158" t="s">
        <v>302</v>
      </c>
      <c r="C158" t="s">
        <v>622</v>
      </c>
      <c r="D158" t="s">
        <v>303</v>
      </c>
      <c r="E158" t="s">
        <v>417</v>
      </c>
    </row>
    <row r="159" spans="1:5" x14ac:dyDescent="0.2">
      <c r="A159" t="s">
        <v>304</v>
      </c>
      <c r="B159" t="s">
        <v>304</v>
      </c>
      <c r="C159" t="s">
        <v>623</v>
      </c>
      <c r="D159" t="s">
        <v>305</v>
      </c>
      <c r="E159" t="s">
        <v>417</v>
      </c>
    </row>
    <row r="160" spans="1:5" x14ac:dyDescent="0.2">
      <c r="A160" t="s">
        <v>306</v>
      </c>
      <c r="B160" t="s">
        <v>306</v>
      </c>
      <c r="C160" t="s">
        <v>624</v>
      </c>
      <c r="D160" t="s">
        <v>307</v>
      </c>
      <c r="E160" t="s">
        <v>417</v>
      </c>
    </row>
    <row r="161" spans="1:5" x14ac:dyDescent="0.2">
      <c r="A161" t="s">
        <v>308</v>
      </c>
      <c r="B161" t="s">
        <v>308</v>
      </c>
      <c r="C161" t="s">
        <v>625</v>
      </c>
      <c r="D161" t="s">
        <v>309</v>
      </c>
      <c r="E161" t="s">
        <v>417</v>
      </c>
    </row>
    <row r="162" spans="1:5" x14ac:dyDescent="0.2">
      <c r="A162" t="s">
        <v>310</v>
      </c>
      <c r="B162" t="s">
        <v>310</v>
      </c>
      <c r="C162" t="s">
        <v>626</v>
      </c>
      <c r="D162" t="s">
        <v>311</v>
      </c>
      <c r="E162" t="s">
        <v>417</v>
      </c>
    </row>
    <row r="163" spans="1:5" x14ac:dyDescent="0.2">
      <c r="A163" t="s">
        <v>312</v>
      </c>
      <c r="B163" t="s">
        <v>312</v>
      </c>
      <c r="C163" t="s">
        <v>627</v>
      </c>
      <c r="D163" t="s">
        <v>313</v>
      </c>
      <c r="E163" t="s">
        <v>417</v>
      </c>
    </row>
    <row r="164" spans="1:5" x14ac:dyDescent="0.2">
      <c r="A164" t="s">
        <v>314</v>
      </c>
      <c r="B164" t="s">
        <v>314</v>
      </c>
      <c r="C164" t="s">
        <v>628</v>
      </c>
      <c r="D164" t="s">
        <v>315</v>
      </c>
      <c r="E164" t="s">
        <v>417</v>
      </c>
    </row>
    <row r="165" spans="1:5" x14ac:dyDescent="0.2">
      <c r="A165" t="s">
        <v>316</v>
      </c>
      <c r="B165" t="s">
        <v>316</v>
      </c>
      <c r="C165" t="s">
        <v>628</v>
      </c>
      <c r="D165" t="s">
        <v>317</v>
      </c>
      <c r="E165" t="s">
        <v>417</v>
      </c>
    </row>
    <row r="166" spans="1:5" x14ac:dyDescent="0.2">
      <c r="A166" t="s">
        <v>318</v>
      </c>
      <c r="B166" t="s">
        <v>318</v>
      </c>
      <c r="C166" t="s">
        <v>628</v>
      </c>
      <c r="D166" t="s">
        <v>319</v>
      </c>
      <c r="E166" t="s">
        <v>417</v>
      </c>
    </row>
    <row r="167" spans="1:5" x14ac:dyDescent="0.2">
      <c r="A167" t="s">
        <v>320</v>
      </c>
      <c r="B167" t="s">
        <v>320</v>
      </c>
      <c r="C167" t="s">
        <v>629</v>
      </c>
      <c r="D167" t="s">
        <v>321</v>
      </c>
      <c r="E167" t="s">
        <v>417</v>
      </c>
    </row>
    <row r="168" spans="1:5" x14ac:dyDescent="0.2">
      <c r="A168" t="s">
        <v>322</v>
      </c>
      <c r="B168" t="s">
        <v>322</v>
      </c>
      <c r="C168" t="s">
        <v>630</v>
      </c>
      <c r="D168" t="s">
        <v>323</v>
      </c>
      <c r="E168" t="s">
        <v>417</v>
      </c>
    </row>
    <row r="169" spans="1:5" x14ac:dyDescent="0.2">
      <c r="A169" t="s">
        <v>324</v>
      </c>
      <c r="B169" t="s">
        <v>324</v>
      </c>
      <c r="C169" t="s">
        <v>631</v>
      </c>
      <c r="D169" t="s">
        <v>325</v>
      </c>
      <c r="E169" t="s">
        <v>417</v>
      </c>
    </row>
    <row r="170" spans="1:5" x14ac:dyDescent="0.2">
      <c r="A170" t="s">
        <v>326</v>
      </c>
      <c r="B170" t="s">
        <v>326</v>
      </c>
      <c r="C170" t="s">
        <v>632</v>
      </c>
      <c r="D170" t="s">
        <v>101</v>
      </c>
      <c r="E170" t="s">
        <v>417</v>
      </c>
    </row>
    <row r="171" spans="1:5" x14ac:dyDescent="0.2">
      <c r="A171" t="s">
        <v>327</v>
      </c>
      <c r="B171" t="s">
        <v>327</v>
      </c>
      <c r="C171" t="s">
        <v>237</v>
      </c>
      <c r="D171" t="s">
        <v>328</v>
      </c>
      <c r="E171" t="s">
        <v>417</v>
      </c>
    </row>
    <row r="172" spans="1:5" x14ac:dyDescent="0.2">
      <c r="A172" t="s">
        <v>329</v>
      </c>
      <c r="B172" t="s">
        <v>329</v>
      </c>
      <c r="C172" t="s">
        <v>633</v>
      </c>
      <c r="D172" t="s">
        <v>330</v>
      </c>
      <c r="E172" t="s">
        <v>417</v>
      </c>
    </row>
    <row r="173" spans="1:5" x14ac:dyDescent="0.2">
      <c r="A173" t="s">
        <v>331</v>
      </c>
      <c r="B173" t="s">
        <v>331</v>
      </c>
      <c r="C173" t="s">
        <v>634</v>
      </c>
      <c r="D173" t="s">
        <v>332</v>
      </c>
      <c r="E173" t="s">
        <v>417</v>
      </c>
    </row>
    <row r="174" spans="1:5" x14ac:dyDescent="0.2">
      <c r="A174" t="s">
        <v>333</v>
      </c>
      <c r="B174" t="s">
        <v>333</v>
      </c>
      <c r="C174" t="s">
        <v>354</v>
      </c>
      <c r="D174" t="s">
        <v>334</v>
      </c>
      <c r="E174" t="s">
        <v>417</v>
      </c>
    </row>
    <row r="175" spans="1:5" x14ac:dyDescent="0.2">
      <c r="A175" t="s">
        <v>335</v>
      </c>
      <c r="B175" t="s">
        <v>335</v>
      </c>
      <c r="C175" t="s">
        <v>635</v>
      </c>
      <c r="D175" t="s">
        <v>336</v>
      </c>
      <c r="E175" t="s">
        <v>417</v>
      </c>
    </row>
    <row r="176" spans="1:5" x14ac:dyDescent="0.2">
      <c r="A176" t="s">
        <v>337</v>
      </c>
      <c r="B176" t="s">
        <v>337</v>
      </c>
      <c r="C176" t="s">
        <v>636</v>
      </c>
      <c r="D176" t="s">
        <v>338</v>
      </c>
      <c r="E176" t="s">
        <v>417</v>
      </c>
    </row>
    <row r="177" spans="1:5" x14ac:dyDescent="0.2">
      <c r="A177" t="s">
        <v>339</v>
      </c>
      <c r="B177" t="s">
        <v>339</v>
      </c>
      <c r="C177" t="s">
        <v>637</v>
      </c>
      <c r="D177" t="s">
        <v>340</v>
      </c>
      <c r="E177" t="s">
        <v>417</v>
      </c>
    </row>
    <row r="178" spans="1:5" x14ac:dyDescent="0.2">
      <c r="A178" t="s">
        <v>341</v>
      </c>
      <c r="B178" t="s">
        <v>341</v>
      </c>
      <c r="C178" t="s">
        <v>638</v>
      </c>
      <c r="D178" t="s">
        <v>342</v>
      </c>
      <c r="E178" t="s">
        <v>417</v>
      </c>
    </row>
    <row r="179" spans="1:5" x14ac:dyDescent="0.2">
      <c r="A179" t="s">
        <v>343</v>
      </c>
      <c r="B179" t="s">
        <v>343</v>
      </c>
      <c r="C179" t="s">
        <v>638</v>
      </c>
      <c r="D179" t="s">
        <v>344</v>
      </c>
      <c r="E179" t="s">
        <v>417</v>
      </c>
    </row>
    <row r="180" spans="1:5" x14ac:dyDescent="0.2">
      <c r="A180" t="s">
        <v>345</v>
      </c>
      <c r="B180" t="s">
        <v>345</v>
      </c>
      <c r="C180" t="s">
        <v>639</v>
      </c>
      <c r="D180" t="s">
        <v>346</v>
      </c>
      <c r="E180" t="s">
        <v>417</v>
      </c>
    </row>
    <row r="181" spans="1:5" x14ac:dyDescent="0.2">
      <c r="A181" t="s">
        <v>347</v>
      </c>
      <c r="B181" t="s">
        <v>347</v>
      </c>
      <c r="C181" t="s">
        <v>639</v>
      </c>
      <c r="D181" t="s">
        <v>348</v>
      </c>
      <c r="E181" t="s">
        <v>417</v>
      </c>
    </row>
    <row r="182" spans="1:5" x14ac:dyDescent="0.2">
      <c r="A182" t="s">
        <v>349</v>
      </c>
      <c r="B182" t="s">
        <v>349</v>
      </c>
      <c r="C182" t="s">
        <v>639</v>
      </c>
      <c r="D182" t="s">
        <v>350</v>
      </c>
      <c r="E182" t="s">
        <v>417</v>
      </c>
    </row>
    <row r="183" spans="1:5" x14ac:dyDescent="0.2">
      <c r="A183" t="s">
        <v>351</v>
      </c>
      <c r="B183" t="s">
        <v>351</v>
      </c>
      <c r="C183" t="s">
        <v>639</v>
      </c>
      <c r="D183" t="s">
        <v>352</v>
      </c>
      <c r="E183" t="s">
        <v>417</v>
      </c>
    </row>
    <row r="184" spans="1:5" x14ac:dyDescent="0.2">
      <c r="A184" t="s">
        <v>353</v>
      </c>
      <c r="B184" t="s">
        <v>353</v>
      </c>
      <c r="C184" t="s">
        <v>639</v>
      </c>
      <c r="D184" t="s">
        <v>354</v>
      </c>
      <c r="E184" t="s">
        <v>417</v>
      </c>
    </row>
    <row r="185" spans="1:5" x14ac:dyDescent="0.2">
      <c r="A185" t="s">
        <v>355</v>
      </c>
      <c r="B185" t="s">
        <v>355</v>
      </c>
      <c r="C185" t="s">
        <v>639</v>
      </c>
      <c r="D185" t="s">
        <v>356</v>
      </c>
      <c r="E185" t="s">
        <v>417</v>
      </c>
    </row>
    <row r="186" spans="1:5" x14ac:dyDescent="0.2">
      <c r="A186" t="s">
        <v>357</v>
      </c>
      <c r="B186" t="s">
        <v>357</v>
      </c>
      <c r="C186" t="s">
        <v>639</v>
      </c>
      <c r="D186" t="s">
        <v>358</v>
      </c>
      <c r="E186" t="s">
        <v>417</v>
      </c>
    </row>
    <row r="187" spans="1:5" x14ac:dyDescent="0.2">
      <c r="A187" t="s">
        <v>359</v>
      </c>
      <c r="B187" t="s">
        <v>359</v>
      </c>
      <c r="C187" t="s">
        <v>640</v>
      </c>
      <c r="D187" t="s">
        <v>360</v>
      </c>
      <c r="E187" t="s">
        <v>417</v>
      </c>
    </row>
    <row r="188" spans="1:5" x14ac:dyDescent="0.2">
      <c r="A188" t="s">
        <v>361</v>
      </c>
      <c r="B188" t="s">
        <v>361</v>
      </c>
      <c r="C188" t="s">
        <v>641</v>
      </c>
      <c r="D188" t="s">
        <v>362</v>
      </c>
      <c r="E188" t="s">
        <v>418</v>
      </c>
    </row>
    <row r="189" spans="1:5" x14ac:dyDescent="0.2">
      <c r="A189" t="s">
        <v>363</v>
      </c>
      <c r="B189" t="s">
        <v>363</v>
      </c>
      <c r="C189" t="s">
        <v>642</v>
      </c>
      <c r="D189" t="s">
        <v>364</v>
      </c>
      <c r="E189" t="s">
        <v>417</v>
      </c>
    </row>
    <row r="190" spans="1:5" x14ac:dyDescent="0.2">
      <c r="A190" t="s">
        <v>365</v>
      </c>
      <c r="B190" t="s">
        <v>365</v>
      </c>
      <c r="C190" t="s">
        <v>643</v>
      </c>
      <c r="D190" t="s">
        <v>366</v>
      </c>
      <c r="E190" t="s">
        <v>417</v>
      </c>
    </row>
    <row r="191" spans="1:5" x14ac:dyDescent="0.2">
      <c r="A191" t="s">
        <v>367</v>
      </c>
      <c r="B191" t="s">
        <v>367</v>
      </c>
      <c r="C191" t="s">
        <v>643</v>
      </c>
      <c r="D191" t="s">
        <v>368</v>
      </c>
      <c r="E191" t="s">
        <v>417</v>
      </c>
    </row>
    <row r="192" spans="1:5" x14ac:dyDescent="0.2">
      <c r="A192" t="s">
        <v>369</v>
      </c>
      <c r="B192" t="s">
        <v>369</v>
      </c>
      <c r="C192" t="s">
        <v>643</v>
      </c>
      <c r="D192" t="s">
        <v>370</v>
      </c>
      <c r="E192" t="s">
        <v>417</v>
      </c>
    </row>
    <row r="193" spans="1:5" x14ac:dyDescent="0.2">
      <c r="A193" t="s">
        <v>371</v>
      </c>
      <c r="B193" t="s">
        <v>371</v>
      </c>
      <c r="C193" t="s">
        <v>644</v>
      </c>
      <c r="D193" t="s">
        <v>350</v>
      </c>
      <c r="E193" t="s">
        <v>417</v>
      </c>
    </row>
    <row r="194" spans="1:5" x14ac:dyDescent="0.2">
      <c r="A194" t="s">
        <v>372</v>
      </c>
      <c r="B194" t="s">
        <v>372</v>
      </c>
      <c r="C194" t="s">
        <v>645</v>
      </c>
      <c r="D194" t="s">
        <v>373</v>
      </c>
      <c r="E194" t="s">
        <v>417</v>
      </c>
    </row>
    <row r="195" spans="1:5" x14ac:dyDescent="0.2">
      <c r="A195" t="s">
        <v>374</v>
      </c>
      <c r="B195" t="s">
        <v>374</v>
      </c>
      <c r="C195" t="s">
        <v>645</v>
      </c>
      <c r="D195" t="s">
        <v>375</v>
      </c>
      <c r="E195" t="s">
        <v>417</v>
      </c>
    </row>
    <row r="196" spans="1:5" x14ac:dyDescent="0.2">
      <c r="A196" t="s">
        <v>376</v>
      </c>
      <c r="B196" t="s">
        <v>376</v>
      </c>
      <c r="C196" t="s">
        <v>377</v>
      </c>
      <c r="D196" t="s">
        <v>25</v>
      </c>
      <c r="E196" t="s">
        <v>418</v>
      </c>
    </row>
    <row r="197" spans="1:5" x14ac:dyDescent="0.2">
      <c r="A197" t="s">
        <v>378</v>
      </c>
      <c r="B197" t="s">
        <v>378</v>
      </c>
      <c r="C197" t="s">
        <v>646</v>
      </c>
      <c r="D197" t="s">
        <v>379</v>
      </c>
      <c r="E197" t="s">
        <v>417</v>
      </c>
    </row>
    <row r="198" spans="1:5" x14ac:dyDescent="0.2">
      <c r="A198" t="s">
        <v>380</v>
      </c>
      <c r="B198" t="s">
        <v>380</v>
      </c>
      <c r="C198" t="s">
        <v>647</v>
      </c>
      <c r="D198" t="s">
        <v>381</v>
      </c>
      <c r="E198" t="s">
        <v>417</v>
      </c>
    </row>
    <row r="199" spans="1:5" x14ac:dyDescent="0.2">
      <c r="A199" t="s">
        <v>382</v>
      </c>
      <c r="B199" t="s">
        <v>382</v>
      </c>
      <c r="C199" t="s">
        <v>648</v>
      </c>
      <c r="D199" t="s">
        <v>383</v>
      </c>
      <c r="E199" t="s">
        <v>417</v>
      </c>
    </row>
    <row r="200" spans="1:5" x14ac:dyDescent="0.2">
      <c r="A200" t="s">
        <v>384</v>
      </c>
      <c r="B200" t="s">
        <v>384</v>
      </c>
      <c r="C200" t="s">
        <v>649</v>
      </c>
      <c r="D200" t="s">
        <v>385</v>
      </c>
      <c r="E200" t="s">
        <v>417</v>
      </c>
    </row>
    <row r="201" spans="1:5" x14ac:dyDescent="0.2">
      <c r="A201" t="s">
        <v>386</v>
      </c>
      <c r="B201" t="s">
        <v>386</v>
      </c>
      <c r="C201" t="s">
        <v>649</v>
      </c>
      <c r="D201" t="s">
        <v>387</v>
      </c>
      <c r="E201" t="s">
        <v>417</v>
      </c>
    </row>
    <row r="202" spans="1:5" x14ac:dyDescent="0.2">
      <c r="A202" t="s">
        <v>388</v>
      </c>
      <c r="B202" t="s">
        <v>388</v>
      </c>
      <c r="C202" t="s">
        <v>649</v>
      </c>
      <c r="D202" t="s">
        <v>389</v>
      </c>
      <c r="E202" t="s">
        <v>417</v>
      </c>
    </row>
    <row r="203" spans="1:5" x14ac:dyDescent="0.2">
      <c r="A203" t="s">
        <v>390</v>
      </c>
      <c r="B203" t="s">
        <v>390</v>
      </c>
      <c r="C203" t="s">
        <v>650</v>
      </c>
      <c r="D203" t="s">
        <v>391</v>
      </c>
      <c r="E203" t="s">
        <v>417</v>
      </c>
    </row>
    <row r="204" spans="1:5" x14ac:dyDescent="0.2">
      <c r="A204" t="s">
        <v>392</v>
      </c>
      <c r="B204" t="s">
        <v>392</v>
      </c>
      <c r="C204" t="s">
        <v>650</v>
      </c>
      <c r="D204" t="s">
        <v>393</v>
      </c>
      <c r="E204" t="s">
        <v>417</v>
      </c>
    </row>
    <row r="205" spans="1:5" x14ac:dyDescent="0.2">
      <c r="A205" t="s">
        <v>394</v>
      </c>
      <c r="B205" t="s">
        <v>394</v>
      </c>
      <c r="C205" t="s">
        <v>651</v>
      </c>
      <c r="D205" t="s">
        <v>395</v>
      </c>
      <c r="E205" t="s">
        <v>417</v>
      </c>
    </row>
    <row r="206" spans="1:5" x14ac:dyDescent="0.2">
      <c r="A206" t="s">
        <v>396</v>
      </c>
      <c r="B206" t="s">
        <v>396</v>
      </c>
      <c r="C206" t="s">
        <v>652</v>
      </c>
      <c r="D206" t="s">
        <v>397</v>
      </c>
      <c r="E206" t="s">
        <v>417</v>
      </c>
    </row>
    <row r="207" spans="1:5" x14ac:dyDescent="0.2">
      <c r="A207" t="s">
        <v>398</v>
      </c>
      <c r="B207" t="s">
        <v>398</v>
      </c>
      <c r="C207" t="s">
        <v>653</v>
      </c>
      <c r="D207" t="s">
        <v>399</v>
      </c>
      <c r="E207" t="s">
        <v>417</v>
      </c>
    </row>
    <row r="208" spans="1:5" x14ac:dyDescent="0.2">
      <c r="A208" t="s">
        <v>400</v>
      </c>
      <c r="B208" t="s">
        <v>400</v>
      </c>
      <c r="C208" t="s">
        <v>653</v>
      </c>
      <c r="D208" t="s">
        <v>401</v>
      </c>
      <c r="E208" t="s">
        <v>417</v>
      </c>
    </row>
    <row r="209" spans="1:5" x14ac:dyDescent="0.2">
      <c r="A209" t="s">
        <v>402</v>
      </c>
      <c r="B209" t="s">
        <v>402</v>
      </c>
      <c r="C209" t="s">
        <v>654</v>
      </c>
      <c r="D209" t="s">
        <v>403</v>
      </c>
      <c r="E209" t="s">
        <v>417</v>
      </c>
    </row>
    <row r="210" spans="1:5" x14ac:dyDescent="0.2">
      <c r="A210" t="s">
        <v>404</v>
      </c>
      <c r="B210" t="s">
        <v>404</v>
      </c>
      <c r="C210" t="s">
        <v>654</v>
      </c>
      <c r="D210" t="s">
        <v>405</v>
      </c>
      <c r="E210" t="s">
        <v>417</v>
      </c>
    </row>
    <row r="211" spans="1:5" x14ac:dyDescent="0.2">
      <c r="A211" t="s">
        <v>406</v>
      </c>
      <c r="B211" t="s">
        <v>406</v>
      </c>
      <c r="C211" t="s">
        <v>655</v>
      </c>
      <c r="D211" t="s">
        <v>407</v>
      </c>
      <c r="E211" t="s">
        <v>417</v>
      </c>
    </row>
    <row r="212" spans="1:5" x14ac:dyDescent="0.2">
      <c r="A212" t="s">
        <v>408</v>
      </c>
      <c r="B212" t="s">
        <v>408</v>
      </c>
      <c r="C212" t="s">
        <v>656</v>
      </c>
      <c r="D212" t="s">
        <v>409</v>
      </c>
      <c r="E212" t="s">
        <v>417</v>
      </c>
    </row>
    <row r="213" spans="1:5" x14ac:dyDescent="0.2">
      <c r="A213" s="12" t="s">
        <v>659</v>
      </c>
      <c r="C213" t="s">
        <v>670</v>
      </c>
      <c r="D213" t="s">
        <v>671</v>
      </c>
      <c r="E213" t="s">
        <v>417</v>
      </c>
    </row>
    <row r="214" spans="1:5" x14ac:dyDescent="0.2">
      <c r="A214" s="12" t="s">
        <v>660</v>
      </c>
      <c r="C214" t="s">
        <v>672</v>
      </c>
      <c r="D214" t="s">
        <v>673</v>
      </c>
      <c r="E214" t="s">
        <v>417</v>
      </c>
    </row>
    <row r="215" spans="1:5" x14ac:dyDescent="0.2">
      <c r="A215" t="s">
        <v>661</v>
      </c>
      <c r="C215" t="s">
        <v>674</v>
      </c>
      <c r="D215" t="s">
        <v>675</v>
      </c>
      <c r="E215" t="s">
        <v>418</v>
      </c>
    </row>
    <row r="216" spans="1:5" x14ac:dyDescent="0.2">
      <c r="A216" t="s">
        <v>662</v>
      </c>
      <c r="C216" t="s">
        <v>676</v>
      </c>
      <c r="D216" t="s">
        <v>677</v>
      </c>
      <c r="E216" t="s">
        <v>418</v>
      </c>
    </row>
    <row r="217" spans="1:5" x14ac:dyDescent="0.2">
      <c r="A217" t="s">
        <v>663</v>
      </c>
      <c r="C217" t="s">
        <v>513</v>
      </c>
      <c r="D217" t="s">
        <v>678</v>
      </c>
      <c r="E217" t="s">
        <v>417</v>
      </c>
    </row>
    <row r="218" spans="1:5" x14ac:dyDescent="0.2">
      <c r="A218" t="s">
        <v>664</v>
      </c>
      <c r="C218" t="s">
        <v>681</v>
      </c>
      <c r="D218" t="s">
        <v>682</v>
      </c>
      <c r="E218" t="s">
        <v>417</v>
      </c>
    </row>
    <row r="219" spans="1:5" x14ac:dyDescent="0.2">
      <c r="A219" t="s">
        <v>665</v>
      </c>
      <c r="C219" t="s">
        <v>679</v>
      </c>
      <c r="D219" t="s">
        <v>680</v>
      </c>
      <c r="E219" t="s">
        <v>417</v>
      </c>
    </row>
    <row r="220" spans="1:5" x14ac:dyDescent="0.2">
      <c r="A220" t="s">
        <v>666</v>
      </c>
      <c r="C220" t="s">
        <v>683</v>
      </c>
      <c r="D220" t="s">
        <v>684</v>
      </c>
      <c r="E220" t="s">
        <v>417</v>
      </c>
    </row>
    <row r="221" spans="1:5" x14ac:dyDescent="0.2">
      <c r="A221" t="s">
        <v>667</v>
      </c>
      <c r="C221" t="s">
        <v>685</v>
      </c>
      <c r="D221" t="s">
        <v>686</v>
      </c>
      <c r="E221" t="s">
        <v>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F308-C520-244C-91FB-50446A1F43E9}">
  <sheetPr codeName="Sheet5"/>
  <dimension ref="A1:I136"/>
  <sheetViews>
    <sheetView topLeftCell="B59" workbookViewId="0">
      <selection activeCell="J13" sqref="J13"/>
    </sheetView>
  </sheetViews>
  <sheetFormatPr baseColWidth="10" defaultRowHeight="16" x14ac:dyDescent="0.2"/>
  <cols>
    <col min="1" max="3" width="15.83203125" customWidth="1"/>
    <col min="4" max="4" width="21.83203125" bestFit="1" customWidth="1"/>
    <col min="5" max="5" width="21.83203125" customWidth="1"/>
    <col min="6" max="8" width="15.83203125" customWidth="1"/>
    <col min="9" max="9" width="16.83203125" bestFit="1" customWidth="1"/>
  </cols>
  <sheetData>
    <row r="1" spans="1:9" x14ac:dyDescent="0.2">
      <c r="A1" t="s">
        <v>501</v>
      </c>
      <c r="B1" t="s">
        <v>421</v>
      </c>
      <c r="C1" s="2" t="s">
        <v>498</v>
      </c>
      <c r="D1" t="s">
        <v>499</v>
      </c>
      <c r="E1" t="s">
        <v>500</v>
      </c>
      <c r="F1" t="s">
        <v>421</v>
      </c>
      <c r="G1" t="s">
        <v>461</v>
      </c>
      <c r="H1" t="s">
        <v>462</v>
      </c>
      <c r="I1" t="s">
        <v>463</v>
      </c>
    </row>
    <row r="2" spans="1:9" x14ac:dyDescent="0.2">
      <c r="A2" t="s">
        <v>209</v>
      </c>
      <c r="B2">
        <v>13.5</v>
      </c>
      <c r="C2" s="1">
        <v>44927</v>
      </c>
      <c r="D2" t="str">
        <f>INDEX(league_players!C:C,MATCH($A2,league_players!$A:$A,0))</f>
        <v>Julien</v>
      </c>
      <c r="E2" t="str">
        <f>INDEX(league_players!D:D,MATCH($A2,league_players!$A:$A,0))</f>
        <v>Blain</v>
      </c>
      <c r="F2">
        <f>B2</f>
        <v>13.5</v>
      </c>
      <c r="G2" t="s">
        <v>492</v>
      </c>
      <c r="I2" t="s">
        <v>464</v>
      </c>
    </row>
    <row r="3" spans="1:9" x14ac:dyDescent="0.2">
      <c r="A3" t="s">
        <v>322</v>
      </c>
      <c r="B3">
        <v>4.5</v>
      </c>
      <c r="C3" s="1">
        <v>44927</v>
      </c>
      <c r="D3" t="str">
        <f>INDEX(league_players!C:C,MATCH(A3,league_players!A:A,0))</f>
        <v>Rob</v>
      </c>
      <c r="E3" t="str">
        <f>INDEX(league_players!D:D,MATCH($A3,league_players!$A:$A,0))</f>
        <v>Springett</v>
      </c>
      <c r="F3">
        <f t="shared" ref="F3:F16" si="0">B3</f>
        <v>4.5</v>
      </c>
      <c r="G3" t="s">
        <v>492</v>
      </c>
      <c r="I3" t="s">
        <v>464</v>
      </c>
    </row>
    <row r="4" spans="1:9" x14ac:dyDescent="0.2">
      <c r="A4" t="s">
        <v>157</v>
      </c>
      <c r="B4">
        <v>10.5</v>
      </c>
      <c r="C4" s="1">
        <v>44927</v>
      </c>
      <c r="D4" t="str">
        <f>INDEX(league_players!C:C,MATCH(A4,league_players!A:A,0))</f>
        <v>Guillaume</v>
      </c>
      <c r="E4" t="str">
        <f>INDEX(league_players!D:D,MATCH($A4,league_players!$A:$A,0))</f>
        <v>Augustin</v>
      </c>
      <c r="F4">
        <f t="shared" si="0"/>
        <v>10.5</v>
      </c>
      <c r="G4" t="s">
        <v>492</v>
      </c>
      <c r="I4" t="s">
        <v>464</v>
      </c>
    </row>
    <row r="5" spans="1:9" x14ac:dyDescent="0.2">
      <c r="A5" t="s">
        <v>318</v>
      </c>
      <c r="B5">
        <v>21.5</v>
      </c>
      <c r="C5" s="1">
        <v>44927</v>
      </c>
      <c r="D5" t="str">
        <f>INDEX(league_players!C:C,MATCH(A5,league_players!A:A,0))</f>
        <v>Richard</v>
      </c>
      <c r="E5" t="str">
        <f>INDEX(league_players!D:D,MATCH($A5,league_players!$A:$A,0))</f>
        <v>Cogswell</v>
      </c>
      <c r="F5">
        <f t="shared" si="0"/>
        <v>21.5</v>
      </c>
      <c r="G5" t="s">
        <v>492</v>
      </c>
      <c r="I5" t="s">
        <v>464</v>
      </c>
    </row>
    <row r="6" spans="1:9" x14ac:dyDescent="0.2">
      <c r="A6" t="s">
        <v>312</v>
      </c>
      <c r="B6">
        <v>15.5</v>
      </c>
      <c r="C6" s="1">
        <v>44927</v>
      </c>
      <c r="D6" t="str">
        <f>INDEX(league_players!C:C,MATCH(A6,league_players!A:A,0))</f>
        <v>Remco</v>
      </c>
      <c r="E6" t="str">
        <f>INDEX(league_players!D:D,MATCH($A6,league_players!$A:$A,0))</f>
        <v>Schenk</v>
      </c>
      <c r="F6">
        <f t="shared" si="0"/>
        <v>15.5</v>
      </c>
      <c r="G6" t="s">
        <v>492</v>
      </c>
      <c r="I6" t="s">
        <v>464</v>
      </c>
    </row>
    <row r="7" spans="1:9" x14ac:dyDescent="0.2">
      <c r="A7" t="s">
        <v>96</v>
      </c>
      <c r="B7">
        <v>21.5</v>
      </c>
      <c r="C7" s="1">
        <v>44927</v>
      </c>
      <c r="D7" t="str">
        <f>INDEX(league_players!C:C,MATCH(A7,league_players!A:A,0))</f>
        <v>Daniel</v>
      </c>
      <c r="E7" t="str">
        <f>INDEX(league_players!D:D,MATCH($A7,league_players!$A:$A,0))</f>
        <v>Lawrence</v>
      </c>
      <c r="F7">
        <f t="shared" si="0"/>
        <v>21.5</v>
      </c>
      <c r="G7" t="s">
        <v>492</v>
      </c>
      <c r="I7" t="s">
        <v>464</v>
      </c>
    </row>
    <row r="8" spans="1:9" x14ac:dyDescent="0.2">
      <c r="A8" t="s">
        <v>226</v>
      </c>
      <c r="B8">
        <v>19</v>
      </c>
      <c r="C8" s="1">
        <v>44927</v>
      </c>
      <c r="D8" t="str">
        <f>INDEX(league_players!C:C,MATCH(A8,league_players!A:A,0))</f>
        <v>Kenneth</v>
      </c>
      <c r="E8" t="str">
        <f>INDEX(league_players!D:D,MATCH($A8,league_players!$A:$A,0))</f>
        <v>Cheung</v>
      </c>
      <c r="F8">
        <f t="shared" si="0"/>
        <v>19</v>
      </c>
      <c r="G8" t="s">
        <v>492</v>
      </c>
      <c r="I8" t="s">
        <v>464</v>
      </c>
    </row>
    <row r="9" spans="1:9" x14ac:dyDescent="0.2">
      <c r="A9" t="s">
        <v>77</v>
      </c>
      <c r="B9">
        <v>12.5</v>
      </c>
      <c r="C9" s="1">
        <v>44927</v>
      </c>
      <c r="D9" t="str">
        <f>INDEX(league_players!C:C,MATCH(A9,league_players!A:A,0))</f>
        <v>Chris</v>
      </c>
      <c r="E9" t="str">
        <f>INDEX(league_players!D:D,MATCH($A9,league_players!$A:$A,0))</f>
        <v>Dunham</v>
      </c>
      <c r="F9">
        <f t="shared" si="0"/>
        <v>12.5</v>
      </c>
      <c r="G9" t="s">
        <v>492</v>
      </c>
      <c r="I9" t="s">
        <v>464</v>
      </c>
    </row>
    <row r="10" spans="1:9" x14ac:dyDescent="0.2">
      <c r="A10" t="s">
        <v>250</v>
      </c>
      <c r="B10">
        <v>15</v>
      </c>
      <c r="C10" s="1">
        <v>44927</v>
      </c>
      <c r="D10" t="str">
        <f>INDEX(league_players!C:C,MATCH(A10,league_players!A:A,0))</f>
        <v>Marco</v>
      </c>
      <c r="E10" t="str">
        <f>INDEX(league_players!D:D,MATCH($A10,league_players!$A:$A,0))</f>
        <v>Attilio</v>
      </c>
      <c r="F10">
        <f t="shared" si="0"/>
        <v>15</v>
      </c>
      <c r="G10" t="s">
        <v>492</v>
      </c>
      <c r="I10" t="s">
        <v>464</v>
      </c>
    </row>
    <row r="11" spans="1:9" x14ac:dyDescent="0.2">
      <c r="A11" t="s">
        <v>367</v>
      </c>
      <c r="B11">
        <v>24</v>
      </c>
      <c r="C11" s="1">
        <v>44927</v>
      </c>
      <c r="D11" t="str">
        <f>INDEX(league_players!C:C,MATCH(A11,league_players!A:A,0))</f>
        <v>Steve</v>
      </c>
      <c r="E11" t="str">
        <f>INDEX(league_players!D:D,MATCH($A11,league_players!$A:$A,0))</f>
        <v>McCole</v>
      </c>
      <c r="F11">
        <f t="shared" si="0"/>
        <v>24</v>
      </c>
      <c r="G11" t="s">
        <v>492</v>
      </c>
      <c r="I11" t="s">
        <v>464</v>
      </c>
    </row>
    <row r="12" spans="1:9" x14ac:dyDescent="0.2">
      <c r="A12" t="s">
        <v>38</v>
      </c>
      <c r="B12">
        <v>23.5</v>
      </c>
      <c r="C12" s="1">
        <v>44927</v>
      </c>
      <c r="D12" t="str">
        <f>INDEX(league_players!C:C,MATCH(A12,league_players!A:A,0))</f>
        <v>Andrea</v>
      </c>
      <c r="E12" t="str">
        <f>INDEX(league_players!D:D,MATCH($A12,league_players!$A:$A,0))</f>
        <v>Sbalchiero</v>
      </c>
      <c r="F12">
        <f t="shared" si="0"/>
        <v>23.5</v>
      </c>
      <c r="G12" t="s">
        <v>492</v>
      </c>
      <c r="I12" t="s">
        <v>464</v>
      </c>
    </row>
    <row r="13" spans="1:9" x14ac:dyDescent="0.2">
      <c r="A13" t="s">
        <v>195</v>
      </c>
      <c r="B13">
        <v>0</v>
      </c>
      <c r="C13" s="1">
        <v>44927</v>
      </c>
      <c r="D13" t="str">
        <f>INDEX(league_players!C:C,MATCH(A13,league_players!A:A,0))</f>
        <v>John</v>
      </c>
      <c r="E13" t="str">
        <f>INDEX(league_players!D:D,MATCH($A13,league_players!$A:$A,0))</f>
        <v>Heming</v>
      </c>
      <c r="F13">
        <f t="shared" si="0"/>
        <v>0</v>
      </c>
      <c r="G13" t="s">
        <v>492</v>
      </c>
      <c r="I13" t="s">
        <v>464</v>
      </c>
    </row>
    <row r="14" spans="1:9" x14ac:dyDescent="0.2">
      <c r="A14" t="s">
        <v>28</v>
      </c>
      <c r="B14">
        <v>17</v>
      </c>
      <c r="C14" s="1">
        <v>44927</v>
      </c>
      <c r="D14" t="str">
        <f>INDEX(league_players!C:C,MATCH(A14,league_players!A:A,0))</f>
        <v>Alex</v>
      </c>
      <c r="E14" t="str">
        <f>INDEX(league_players!D:D,MATCH($A14,league_players!$A:$A,0))</f>
        <v>Thanopoulos</v>
      </c>
      <c r="F14">
        <f t="shared" si="0"/>
        <v>17</v>
      </c>
      <c r="G14" t="s">
        <v>492</v>
      </c>
      <c r="I14" t="s">
        <v>464</v>
      </c>
    </row>
    <row r="15" spans="1:9" x14ac:dyDescent="0.2">
      <c r="A15" t="s">
        <v>252</v>
      </c>
      <c r="B15">
        <v>22</v>
      </c>
      <c r="C15" s="1">
        <v>44927</v>
      </c>
      <c r="D15" t="str">
        <f>INDEX(league_players!C:C,MATCH(A15,league_players!A:A,0))</f>
        <v>Martin</v>
      </c>
      <c r="E15" t="str">
        <f>INDEX(league_players!D:D,MATCH($A15,league_players!$A:$A,0))</f>
        <v>Hrastic</v>
      </c>
      <c r="F15">
        <f t="shared" si="0"/>
        <v>22</v>
      </c>
      <c r="G15" t="s">
        <v>492</v>
      </c>
      <c r="I15" t="s">
        <v>464</v>
      </c>
    </row>
    <row r="16" spans="1:9" x14ac:dyDescent="0.2">
      <c r="A16" t="s">
        <v>163</v>
      </c>
      <c r="B16">
        <v>9.5</v>
      </c>
      <c r="C16" s="1">
        <v>44927</v>
      </c>
      <c r="D16" t="str">
        <f>INDEX(league_players!C:C,MATCH(A16,league_players!A:A,0))</f>
        <v>Ian</v>
      </c>
      <c r="E16" t="str">
        <f>INDEX(league_players!D:D,MATCH($A16,league_players!$A:$A,0))</f>
        <v>Bowden</v>
      </c>
      <c r="F16">
        <f t="shared" si="0"/>
        <v>9.5</v>
      </c>
      <c r="G16" t="s">
        <v>492</v>
      </c>
      <c r="I16" t="s">
        <v>464</v>
      </c>
    </row>
    <row r="17" spans="1:9" x14ac:dyDescent="0.2">
      <c r="A17" t="s">
        <v>207</v>
      </c>
      <c r="B17">
        <v>12</v>
      </c>
      <c r="C17" s="1">
        <v>44927</v>
      </c>
      <c r="D17" t="str">
        <f>INDEX(league_players!C:C,MATCH(A17,league_players!A:A,0))</f>
        <v>Jonty</v>
      </c>
      <c r="E17" t="str">
        <f>INDEX(league_players!D:D,MATCH($A17,league_players!$A:$A,0))</f>
        <v>Richardson</v>
      </c>
      <c r="F17">
        <f t="shared" ref="F17:F80" si="1">B17</f>
        <v>12</v>
      </c>
      <c r="G17" t="s">
        <v>492</v>
      </c>
      <c r="I17" t="s">
        <v>464</v>
      </c>
    </row>
    <row r="18" spans="1:9" x14ac:dyDescent="0.2">
      <c r="A18" t="s">
        <v>120</v>
      </c>
      <c r="B18">
        <v>20</v>
      </c>
      <c r="C18" s="1">
        <v>44927</v>
      </c>
      <c r="D18" t="str">
        <f>INDEX(league_players!C:C,MATCH(A18,league_players!A:A,0))</f>
        <v>Ed</v>
      </c>
      <c r="E18" t="str">
        <f>INDEX(league_players!D:D,MATCH($A18,league_players!$A:$A,0))</f>
        <v>Thwaites</v>
      </c>
      <c r="F18">
        <f t="shared" si="1"/>
        <v>20</v>
      </c>
      <c r="G18" t="s">
        <v>492</v>
      </c>
      <c r="I18" t="s">
        <v>464</v>
      </c>
    </row>
    <row r="19" spans="1:9" x14ac:dyDescent="0.2">
      <c r="A19" t="s">
        <v>214</v>
      </c>
      <c r="B19">
        <v>25</v>
      </c>
      <c r="C19" s="1">
        <v>44927</v>
      </c>
      <c r="D19" t="str">
        <f>INDEX(league_players!C:C,MATCH(A19,league_players!A:A,0))</f>
        <v>Kamal</v>
      </c>
      <c r="E19" t="str">
        <f>INDEX(league_players!D:D,MATCH($A19,league_players!$A:$A,0))</f>
        <v>Ridzam</v>
      </c>
      <c r="F19">
        <f t="shared" si="1"/>
        <v>25</v>
      </c>
      <c r="G19" t="s">
        <v>492</v>
      </c>
      <c r="I19" t="s">
        <v>464</v>
      </c>
    </row>
    <row r="20" spans="1:9" x14ac:dyDescent="0.2">
      <c r="A20" t="s">
        <v>248</v>
      </c>
      <c r="B20">
        <v>17.5</v>
      </c>
      <c r="C20" s="1">
        <v>44927</v>
      </c>
      <c r="D20" t="str">
        <f>INDEX(league_players!C:C,MATCH(A20,league_players!A:A,0))</f>
        <v>Marc</v>
      </c>
      <c r="E20" t="str">
        <f>INDEX(league_players!D:D,MATCH($A20,league_players!$A:$A,0))</f>
        <v>Westgate</v>
      </c>
      <c r="F20">
        <f t="shared" si="1"/>
        <v>17.5</v>
      </c>
      <c r="G20" t="s">
        <v>492</v>
      </c>
      <c r="I20" t="s">
        <v>464</v>
      </c>
    </row>
    <row r="21" spans="1:9" x14ac:dyDescent="0.2">
      <c r="A21" t="s">
        <v>280</v>
      </c>
      <c r="B21">
        <v>17.5</v>
      </c>
      <c r="C21" s="1">
        <v>44927</v>
      </c>
      <c r="D21" t="str">
        <f>INDEX(league_players!C:C,MATCH(A21,league_players!A:A,0))</f>
        <v>Nick</v>
      </c>
      <c r="E21" t="str">
        <f>INDEX(league_players!D:D,MATCH($A21,league_players!$A:$A,0))</f>
        <v>Waite</v>
      </c>
      <c r="F21">
        <f t="shared" si="1"/>
        <v>17.5</v>
      </c>
      <c r="G21" t="s">
        <v>492</v>
      </c>
      <c r="I21" t="s">
        <v>464</v>
      </c>
    </row>
    <row r="22" spans="1:9" x14ac:dyDescent="0.2">
      <c r="A22" t="s">
        <v>205</v>
      </c>
      <c r="B22">
        <v>19.5</v>
      </c>
      <c r="C22" s="1">
        <v>44927</v>
      </c>
      <c r="D22" t="str">
        <f>INDEX(league_players!C:C,MATCH(A22,league_players!A:A,0))</f>
        <v>Jonny</v>
      </c>
      <c r="E22" t="str">
        <f>INDEX(league_players!D:D,MATCH($A22,league_players!$A:$A,0))</f>
        <v>Owens</v>
      </c>
      <c r="F22">
        <f t="shared" si="1"/>
        <v>19.5</v>
      </c>
      <c r="G22" t="s">
        <v>492</v>
      </c>
      <c r="I22" t="s">
        <v>464</v>
      </c>
    </row>
    <row r="23" spans="1:9" x14ac:dyDescent="0.2">
      <c r="A23" t="s">
        <v>382</v>
      </c>
      <c r="B23">
        <v>17.5</v>
      </c>
      <c r="C23" s="1">
        <v>44927</v>
      </c>
      <c r="D23" t="str">
        <f>INDEX(league_players!C:C,MATCH(A23,league_players!A:A,0))</f>
        <v>Toby</v>
      </c>
      <c r="E23" t="str">
        <f>INDEX(league_players!D:D,MATCH($A23,league_players!$A:$A,0))</f>
        <v>Michelmore</v>
      </c>
      <c r="F23">
        <f t="shared" si="1"/>
        <v>17.5</v>
      </c>
      <c r="G23" t="s">
        <v>492</v>
      </c>
      <c r="I23" t="s">
        <v>464</v>
      </c>
    </row>
    <row r="24" spans="1:9" x14ac:dyDescent="0.2">
      <c r="A24" t="s">
        <v>182</v>
      </c>
      <c r="B24">
        <v>25</v>
      </c>
      <c r="C24" s="1">
        <v>44927</v>
      </c>
      <c r="D24" t="str">
        <f>INDEX(league_players!C:C,MATCH(A24,league_players!A:A,0))</f>
        <v>Jason</v>
      </c>
      <c r="E24" t="str">
        <f>INDEX(league_players!D:D,MATCH($A24,league_players!$A:$A,0))</f>
        <v>Pae</v>
      </c>
      <c r="F24">
        <f t="shared" si="1"/>
        <v>25</v>
      </c>
      <c r="G24" t="s">
        <v>492</v>
      </c>
      <c r="I24" t="s">
        <v>464</v>
      </c>
    </row>
    <row r="25" spans="1:9" x14ac:dyDescent="0.2">
      <c r="A25" t="s">
        <v>134</v>
      </c>
      <c r="B25">
        <v>14.5</v>
      </c>
      <c r="C25" s="1">
        <v>44927</v>
      </c>
      <c r="D25" t="str">
        <f>INDEX(league_players!C:C,MATCH(A25,league_players!A:A,0))</f>
        <v>Fraser</v>
      </c>
      <c r="E25" t="str">
        <f>INDEX(league_players!D:D,MATCH($A25,league_players!$A:$A,0))</f>
        <v>Macdonald</v>
      </c>
      <c r="F25">
        <f t="shared" si="1"/>
        <v>14.5</v>
      </c>
      <c r="G25" t="s">
        <v>492</v>
      </c>
      <c r="I25" t="s">
        <v>464</v>
      </c>
    </row>
    <row r="26" spans="1:9" x14ac:dyDescent="0.2">
      <c r="A26" t="s">
        <v>40</v>
      </c>
      <c r="B26">
        <v>19</v>
      </c>
      <c r="C26" s="1">
        <v>44927</v>
      </c>
      <c r="D26" t="str">
        <f>INDEX(league_players!C:C,MATCH(A26,league_players!A:A,0))</f>
        <v>Andrea</v>
      </c>
      <c r="E26" t="str">
        <f>INDEX(league_players!D:D,MATCH($A26,league_players!$A:$A,0))</f>
        <v>Vanara</v>
      </c>
      <c r="F26">
        <f t="shared" si="1"/>
        <v>19</v>
      </c>
      <c r="G26" t="s">
        <v>492</v>
      </c>
      <c r="I26" t="s">
        <v>464</v>
      </c>
    </row>
    <row r="27" spans="1:9" x14ac:dyDescent="0.2">
      <c r="A27" t="s">
        <v>384</v>
      </c>
      <c r="B27">
        <v>0</v>
      </c>
      <c r="C27" s="1">
        <v>44927</v>
      </c>
      <c r="D27" t="str">
        <f>INDEX(league_players!C:C,MATCH(A27,league_players!A:A,0))</f>
        <v>Tom</v>
      </c>
      <c r="E27" t="str">
        <f>INDEX(league_players!D:D,MATCH($A27,league_players!$A:$A,0))</f>
        <v>Gooding</v>
      </c>
      <c r="F27">
        <f t="shared" si="1"/>
        <v>0</v>
      </c>
      <c r="G27" t="s">
        <v>492</v>
      </c>
      <c r="I27" t="s">
        <v>464</v>
      </c>
    </row>
    <row r="28" spans="1:9" x14ac:dyDescent="0.2">
      <c r="A28" t="s">
        <v>36</v>
      </c>
      <c r="B28">
        <v>20.5</v>
      </c>
      <c r="C28" s="1">
        <v>44927</v>
      </c>
      <c r="D28" t="str">
        <f>INDEX(league_players!C:C,MATCH(A28,league_players!A:A,0))</f>
        <v>Andre</v>
      </c>
      <c r="E28" t="str">
        <f>INDEX(league_players!D:D,MATCH($A28,league_players!$A:$A,0))</f>
        <v>Gruber</v>
      </c>
      <c r="F28">
        <f t="shared" si="1"/>
        <v>20.5</v>
      </c>
      <c r="G28" t="s">
        <v>492</v>
      </c>
      <c r="I28" t="s">
        <v>464</v>
      </c>
    </row>
    <row r="29" spans="1:9" x14ac:dyDescent="0.2">
      <c r="A29" t="s">
        <v>137</v>
      </c>
      <c r="B29">
        <v>9</v>
      </c>
      <c r="C29" s="1">
        <v>44927</v>
      </c>
      <c r="D29" t="str">
        <f>INDEX(league_players!C:C,MATCH(A29,league_players!A:A,0))</f>
        <v>Gary</v>
      </c>
      <c r="E29" t="str">
        <f>INDEX(league_players!D:D,MATCH($A29,league_players!$A:$A,0))</f>
        <v>Brookes</v>
      </c>
      <c r="F29">
        <f t="shared" si="1"/>
        <v>9</v>
      </c>
      <c r="G29" t="s">
        <v>492</v>
      </c>
      <c r="I29" t="s">
        <v>464</v>
      </c>
    </row>
    <row r="30" spans="1:9" x14ac:dyDescent="0.2">
      <c r="A30" t="s">
        <v>359</v>
      </c>
      <c r="B30">
        <v>19</v>
      </c>
      <c r="C30" s="1">
        <v>44927</v>
      </c>
      <c r="D30" t="str">
        <f>INDEX(league_players!C:C,MATCH(A30,league_players!A:A,0))</f>
        <v>Sing</v>
      </c>
      <c r="E30" t="str">
        <f>INDEX(league_players!D:D,MATCH($A30,league_players!$A:$A,0))</f>
        <v>Chan Ng</v>
      </c>
      <c r="F30">
        <f t="shared" si="1"/>
        <v>19</v>
      </c>
      <c r="G30" t="s">
        <v>492</v>
      </c>
      <c r="I30" t="s">
        <v>464</v>
      </c>
    </row>
    <row r="31" spans="1:9" x14ac:dyDescent="0.2">
      <c r="A31" t="s">
        <v>155</v>
      </c>
      <c r="B31">
        <v>10</v>
      </c>
      <c r="C31" s="1">
        <v>44927</v>
      </c>
      <c r="D31" t="str">
        <f>INDEX(league_players!C:C,MATCH(A31,league_players!A:A,0))</f>
        <v>Greg</v>
      </c>
      <c r="E31" t="str">
        <f>INDEX(league_players!D:D,MATCH($A31,league_players!$A:$A,0))</f>
        <v>Atherstone</v>
      </c>
      <c r="F31">
        <f t="shared" si="1"/>
        <v>10</v>
      </c>
      <c r="G31" t="s">
        <v>492</v>
      </c>
      <c r="I31" t="s">
        <v>464</v>
      </c>
    </row>
    <row r="32" spans="1:9" x14ac:dyDescent="0.2">
      <c r="A32" t="s">
        <v>161</v>
      </c>
      <c r="B32">
        <v>12</v>
      </c>
      <c r="C32" s="1">
        <v>44927</v>
      </c>
      <c r="D32" t="str">
        <f>INDEX(league_players!C:C,MATCH(A32,league_players!A:A,0))</f>
        <v>Hugh</v>
      </c>
      <c r="E32" t="str">
        <f>INDEX(league_players!D:D,MATCH($A32,league_players!$A:$A,0))</f>
        <v>Baker</v>
      </c>
      <c r="F32">
        <f t="shared" si="1"/>
        <v>12</v>
      </c>
      <c r="G32" t="s">
        <v>492</v>
      </c>
      <c r="I32" t="s">
        <v>464</v>
      </c>
    </row>
    <row r="33" spans="1:9" x14ac:dyDescent="0.2">
      <c r="A33" t="s">
        <v>372</v>
      </c>
      <c r="B33">
        <v>7.5</v>
      </c>
      <c r="C33" s="1">
        <v>44927</v>
      </c>
      <c r="D33" t="str">
        <f>INDEX(league_players!C:C,MATCH(A33,league_players!A:A,0))</f>
        <v>Stuart</v>
      </c>
      <c r="E33" t="str">
        <f>INDEX(league_players!D:D,MATCH($A33,league_players!$A:$A,0))</f>
        <v>Andrew</v>
      </c>
      <c r="F33">
        <f t="shared" si="1"/>
        <v>7.5</v>
      </c>
      <c r="G33" t="s">
        <v>492</v>
      </c>
      <c r="I33" t="s">
        <v>464</v>
      </c>
    </row>
    <row r="34" spans="1:9" x14ac:dyDescent="0.2">
      <c r="A34" t="s">
        <v>310</v>
      </c>
      <c r="B34">
        <v>25</v>
      </c>
      <c r="C34" s="1">
        <v>44927</v>
      </c>
      <c r="D34" t="str">
        <f>INDEX(league_players!C:C,MATCH(A34,league_players!A:A,0))</f>
        <v>Rana</v>
      </c>
      <c r="E34" t="str">
        <f>INDEX(league_players!D:D,MATCH($A34,league_players!$A:$A,0))</f>
        <v>Datta</v>
      </c>
      <c r="F34">
        <f t="shared" si="1"/>
        <v>25</v>
      </c>
      <c r="G34" t="s">
        <v>492</v>
      </c>
      <c r="I34" t="s">
        <v>464</v>
      </c>
    </row>
    <row r="35" spans="1:9" x14ac:dyDescent="0.2">
      <c r="A35" t="s">
        <v>5</v>
      </c>
      <c r="B35">
        <v>25</v>
      </c>
      <c r="C35" s="1">
        <v>44927</v>
      </c>
      <c r="D35" t="str">
        <f>INDEX(league_players!C:C,MATCH(A35,league_players!A:A,0))</f>
        <v>Edward</v>
      </c>
      <c r="E35" t="str">
        <f>INDEX(league_players!D:D,MATCH($A35,league_players!$A:$A,0))</f>
        <v>Mills</v>
      </c>
      <c r="F35">
        <f t="shared" si="1"/>
        <v>25</v>
      </c>
      <c r="G35" t="s">
        <v>492</v>
      </c>
      <c r="I35" t="s">
        <v>464</v>
      </c>
    </row>
    <row r="36" spans="1:9" x14ac:dyDescent="0.2">
      <c r="A36" t="s">
        <v>116</v>
      </c>
      <c r="B36">
        <v>25</v>
      </c>
      <c r="C36" s="1">
        <v>44927</v>
      </c>
      <c r="D36" t="str">
        <f>INDEX(league_players!C:C,MATCH(A36,league_players!A:A,0))</f>
        <v>Donough</v>
      </c>
      <c r="E36" t="str">
        <f>INDEX(league_players!D:D,MATCH($A36,league_players!$A:$A,0))</f>
        <v>Murphy</v>
      </c>
      <c r="F36">
        <f t="shared" si="1"/>
        <v>25</v>
      </c>
      <c r="G36" t="s">
        <v>492</v>
      </c>
      <c r="I36" t="s">
        <v>464</v>
      </c>
    </row>
    <row r="37" spans="1:9" x14ac:dyDescent="0.2">
      <c r="A37" t="s">
        <v>34</v>
      </c>
      <c r="B37">
        <v>24.5</v>
      </c>
      <c r="C37" s="1">
        <v>44927</v>
      </c>
      <c r="D37" t="str">
        <f>INDEX(league_players!C:C,MATCH(A37,league_players!A:A,0))</f>
        <v>Anand</v>
      </c>
      <c r="E37" t="str">
        <f>INDEX(league_players!D:D,MATCH($A37,league_players!$A:$A,0))</f>
        <v>Shekaran</v>
      </c>
      <c r="F37">
        <f t="shared" si="1"/>
        <v>24.5</v>
      </c>
      <c r="G37" t="s">
        <v>492</v>
      </c>
      <c r="I37" t="s">
        <v>464</v>
      </c>
    </row>
    <row r="38" spans="1:9" x14ac:dyDescent="0.2">
      <c r="A38" t="s">
        <v>92</v>
      </c>
      <c r="B38">
        <v>3.5</v>
      </c>
      <c r="C38" s="1">
        <v>44927</v>
      </c>
      <c r="D38" t="str">
        <f>INDEX(league_players!C:C,MATCH(A38,league_players!A:A,0))</f>
        <v>Dan</v>
      </c>
      <c r="E38" t="str">
        <f>INDEX(league_players!D:D,MATCH($A38,league_players!$A:$A,0))</f>
        <v>Sleep</v>
      </c>
      <c r="F38">
        <f t="shared" si="1"/>
        <v>3.5</v>
      </c>
      <c r="G38" t="s">
        <v>492</v>
      </c>
      <c r="I38" t="s">
        <v>464</v>
      </c>
    </row>
    <row r="39" spans="1:9" x14ac:dyDescent="0.2">
      <c r="A39" t="s">
        <v>371</v>
      </c>
      <c r="B39">
        <v>20</v>
      </c>
      <c r="C39" s="1">
        <v>44927</v>
      </c>
      <c r="D39" t="str">
        <f>INDEX(league_players!C:C,MATCH(A39,league_players!A:A,0))</f>
        <v>Struan</v>
      </c>
      <c r="E39" t="str">
        <f>INDEX(league_players!D:D,MATCH($A39,league_players!$A:$A,0))</f>
        <v>Lloyd</v>
      </c>
      <c r="F39">
        <f t="shared" si="1"/>
        <v>20</v>
      </c>
      <c r="G39" t="s">
        <v>492</v>
      </c>
      <c r="I39" t="s">
        <v>464</v>
      </c>
    </row>
    <row r="40" spans="1:9" x14ac:dyDescent="0.2">
      <c r="A40" t="s">
        <v>394</v>
      </c>
      <c r="B40">
        <v>25</v>
      </c>
      <c r="C40" s="1">
        <v>44927</v>
      </c>
      <c r="D40" t="str">
        <f>INDEX(league_players!C:C,MATCH(A40,league_players!A:A,0))</f>
        <v>Vishal</v>
      </c>
      <c r="E40" t="str">
        <f>INDEX(league_players!D:D,MATCH($A40,league_players!$A:$A,0))</f>
        <v>Achar</v>
      </c>
      <c r="F40">
        <f t="shared" si="1"/>
        <v>25</v>
      </c>
      <c r="G40" t="s">
        <v>492</v>
      </c>
      <c r="I40" t="s">
        <v>464</v>
      </c>
    </row>
    <row r="41" spans="1:9" x14ac:dyDescent="0.2">
      <c r="A41" t="s">
        <v>261</v>
      </c>
      <c r="B41">
        <v>21.5</v>
      </c>
      <c r="C41" s="1">
        <v>44927</v>
      </c>
      <c r="D41" t="str">
        <f>INDEX(league_players!C:C,MATCH(A41,league_players!A:A,0))</f>
        <v>Matthew</v>
      </c>
      <c r="E41" t="str">
        <f>INDEX(league_players!D:D,MATCH($A41,league_players!$A:$A,0))</f>
        <v>Wardell</v>
      </c>
      <c r="F41">
        <f t="shared" si="1"/>
        <v>21.5</v>
      </c>
      <c r="G41" t="s">
        <v>492</v>
      </c>
      <c r="I41" t="s">
        <v>464</v>
      </c>
    </row>
    <row r="42" spans="1:9" x14ac:dyDescent="0.2">
      <c r="A42" t="s">
        <v>284</v>
      </c>
      <c r="B42">
        <v>17</v>
      </c>
      <c r="C42" s="1">
        <v>44927</v>
      </c>
      <c r="D42" t="str">
        <f>INDEX(league_players!C:C,MATCH(A42,league_players!A:A,0))</f>
        <v>Osama</v>
      </c>
      <c r="E42" t="str">
        <f>INDEX(league_players!D:D,MATCH($A42,league_players!$A:$A,0))</f>
        <v>Qazi</v>
      </c>
      <c r="F42">
        <f t="shared" si="1"/>
        <v>17</v>
      </c>
      <c r="G42" t="s">
        <v>492</v>
      </c>
      <c r="I42" t="s">
        <v>464</v>
      </c>
    </row>
    <row r="43" spans="1:9" x14ac:dyDescent="0.2">
      <c r="A43" t="s">
        <v>238</v>
      </c>
      <c r="B43">
        <v>24</v>
      </c>
      <c r="C43" s="1">
        <v>44927</v>
      </c>
      <c r="D43" t="str">
        <f>INDEX(league_players!C:C,MATCH(A43,league_players!A:A,0))</f>
        <v>Lee</v>
      </c>
      <c r="E43" t="str">
        <f>INDEX(league_players!D:D,MATCH($A43,league_players!$A:$A,0))</f>
        <v>Houl</v>
      </c>
      <c r="F43">
        <f t="shared" si="1"/>
        <v>24</v>
      </c>
      <c r="G43" t="s">
        <v>492</v>
      </c>
      <c r="I43" t="s">
        <v>464</v>
      </c>
    </row>
    <row r="44" spans="1:9" x14ac:dyDescent="0.2">
      <c r="A44" t="s">
        <v>378</v>
      </c>
      <c r="B44">
        <v>7</v>
      </c>
      <c r="C44" s="1">
        <v>44927</v>
      </c>
      <c r="D44" t="str">
        <f>INDEX(league_players!C:C,MATCH(A44,league_players!A:A,0))</f>
        <v>Tao</v>
      </c>
      <c r="E44" t="str">
        <f>INDEX(league_players!D:D,MATCH($A44,league_players!$A:$A,0))</f>
        <v>Lin</v>
      </c>
      <c r="F44">
        <f t="shared" si="1"/>
        <v>7</v>
      </c>
      <c r="G44" t="s">
        <v>492</v>
      </c>
      <c r="I44" t="s">
        <v>464</v>
      </c>
    </row>
    <row r="45" spans="1:9" x14ac:dyDescent="0.2">
      <c r="A45" t="s">
        <v>392</v>
      </c>
      <c r="B45">
        <v>24</v>
      </c>
      <c r="C45" s="1">
        <v>44927</v>
      </c>
      <c r="D45" t="str">
        <f>INDEX(league_players!C:C,MATCH(A45,league_players!A:A,0))</f>
        <v>Vincent</v>
      </c>
      <c r="E45" t="str">
        <f>INDEX(league_players!D:D,MATCH($A45,league_players!$A:$A,0))</f>
        <v>Tay</v>
      </c>
      <c r="F45">
        <f t="shared" si="1"/>
        <v>24</v>
      </c>
      <c r="G45" t="s">
        <v>492</v>
      </c>
      <c r="I45" t="s">
        <v>464</v>
      </c>
    </row>
    <row r="46" spans="1:9" x14ac:dyDescent="0.2">
      <c r="A46" t="s">
        <v>363</v>
      </c>
      <c r="B46">
        <v>19</v>
      </c>
      <c r="C46" s="1">
        <v>44927</v>
      </c>
      <c r="D46" t="str">
        <f>INDEX(league_players!C:C,MATCH(A46,league_players!A:A,0))</f>
        <v>Stephen</v>
      </c>
      <c r="E46" t="str">
        <f>INDEX(league_players!D:D,MATCH($A46,league_players!$A:$A,0))</f>
        <v>Woodrow</v>
      </c>
      <c r="F46">
        <f t="shared" si="1"/>
        <v>19</v>
      </c>
      <c r="G46" t="s">
        <v>492</v>
      </c>
      <c r="I46" t="s">
        <v>464</v>
      </c>
    </row>
    <row r="47" spans="1:9" x14ac:dyDescent="0.2">
      <c r="A47" t="s">
        <v>380</v>
      </c>
      <c r="B47">
        <v>23.5</v>
      </c>
      <c r="C47" s="1">
        <v>44927</v>
      </c>
      <c r="D47" t="str">
        <f>INDEX(league_players!C:C,MATCH(A47,league_players!A:A,0))</f>
        <v>Thomas</v>
      </c>
      <c r="E47" t="str">
        <f>INDEX(league_players!D:D,MATCH($A47,league_players!$A:$A,0))</f>
        <v>Hind</v>
      </c>
      <c r="F47">
        <f t="shared" si="1"/>
        <v>23.5</v>
      </c>
      <c r="G47" t="s">
        <v>492</v>
      </c>
      <c r="I47" t="s">
        <v>464</v>
      </c>
    </row>
    <row r="48" spans="1:9" x14ac:dyDescent="0.2">
      <c r="A48" t="s">
        <v>333</v>
      </c>
      <c r="B48">
        <v>9</v>
      </c>
      <c r="C48" s="1">
        <v>44927</v>
      </c>
      <c r="D48" t="str">
        <f>INDEX(league_players!C:C,MATCH(A48,league_players!A:A,0))</f>
        <v>Scott</v>
      </c>
      <c r="E48" t="str">
        <f>INDEX(league_players!D:D,MATCH($A48,league_players!$A:$A,0))</f>
        <v>Charlton</v>
      </c>
      <c r="F48">
        <f t="shared" si="1"/>
        <v>9</v>
      </c>
      <c r="G48" t="s">
        <v>492</v>
      </c>
      <c r="I48" t="s">
        <v>464</v>
      </c>
    </row>
    <row r="49" spans="1:9" x14ac:dyDescent="0.2">
      <c r="A49" t="s">
        <v>263</v>
      </c>
      <c r="B49">
        <v>25</v>
      </c>
      <c r="C49" s="1">
        <v>44927</v>
      </c>
      <c r="D49" t="str">
        <f>INDEX(league_players!C:C,MATCH(A49,league_players!A:A,0))</f>
        <v>Maverick</v>
      </c>
      <c r="E49" t="str">
        <f>INDEX(league_players!D:D,MATCH($A49,league_players!$A:$A,0))</f>
        <v>Wong</v>
      </c>
      <c r="F49">
        <f t="shared" si="1"/>
        <v>25</v>
      </c>
      <c r="G49" t="s">
        <v>492</v>
      </c>
      <c r="I49" t="s">
        <v>464</v>
      </c>
    </row>
    <row r="50" spans="1:9" x14ac:dyDescent="0.2">
      <c r="A50" t="s">
        <v>274</v>
      </c>
      <c r="B50">
        <v>18.5</v>
      </c>
      <c r="C50" s="1">
        <v>44927</v>
      </c>
      <c r="D50" t="str">
        <f>INDEX(league_players!C:C,MATCH(A50,league_players!A:A,0))</f>
        <v>Nic</v>
      </c>
      <c r="E50" t="str">
        <f>INDEX(league_players!D:D,MATCH($A50,league_players!$A:$A,0))</f>
        <v>Kopitsis</v>
      </c>
      <c r="F50">
        <f t="shared" si="1"/>
        <v>18.5</v>
      </c>
      <c r="G50" t="s">
        <v>492</v>
      </c>
      <c r="I50" t="s">
        <v>464</v>
      </c>
    </row>
    <row r="51" spans="1:9" x14ac:dyDescent="0.2">
      <c r="A51" t="s">
        <v>190</v>
      </c>
      <c r="B51">
        <v>25</v>
      </c>
      <c r="C51" s="1">
        <v>44927</v>
      </c>
      <c r="D51" t="str">
        <f>INDEX(league_players!C:C,MATCH(A51,league_players!A:A,0))</f>
        <v>Jeff</v>
      </c>
      <c r="E51" t="str">
        <f>INDEX(league_players!D:D,MATCH($A51,league_players!$A:$A,0))</f>
        <v>Plein</v>
      </c>
      <c r="F51">
        <f t="shared" si="1"/>
        <v>25</v>
      </c>
      <c r="G51" t="s">
        <v>492</v>
      </c>
      <c r="I51" t="s">
        <v>464</v>
      </c>
    </row>
    <row r="52" spans="1:9" x14ac:dyDescent="0.2">
      <c r="A52" t="s">
        <v>228</v>
      </c>
      <c r="B52">
        <v>25</v>
      </c>
      <c r="C52" s="1">
        <v>44927</v>
      </c>
      <c r="D52" t="str">
        <f>INDEX(league_players!C:C,MATCH(A52,league_players!A:A,0))</f>
        <v>Kevin</v>
      </c>
      <c r="E52" t="str">
        <f>INDEX(league_players!D:D,MATCH($A52,league_players!$A:$A,0))</f>
        <v>Foy</v>
      </c>
      <c r="F52">
        <f t="shared" si="1"/>
        <v>25</v>
      </c>
      <c r="G52" t="s">
        <v>492</v>
      </c>
      <c r="I52" t="s">
        <v>464</v>
      </c>
    </row>
    <row r="53" spans="1:9" x14ac:dyDescent="0.2">
      <c r="A53" t="s">
        <v>240</v>
      </c>
      <c r="B53">
        <v>20</v>
      </c>
      <c r="C53" s="1">
        <v>44927</v>
      </c>
      <c r="D53" t="str">
        <f>INDEX(league_players!C:C,MATCH(A53,league_players!A:A,0))</f>
        <v>Louis</v>
      </c>
      <c r="E53" t="str">
        <f>INDEX(league_players!D:D,MATCH($A53,league_players!$A:$A,0))</f>
        <v>Davis</v>
      </c>
      <c r="F53">
        <f t="shared" si="1"/>
        <v>20</v>
      </c>
      <c r="G53" t="s">
        <v>492</v>
      </c>
      <c r="I53" t="s">
        <v>464</v>
      </c>
    </row>
    <row r="54" spans="1:9" x14ac:dyDescent="0.2">
      <c r="A54" t="s">
        <v>57</v>
      </c>
      <c r="B54">
        <v>25</v>
      </c>
      <c r="C54" s="1">
        <v>44927</v>
      </c>
      <c r="D54" t="str">
        <f>INDEX(league_players!C:C,MATCH(A54,league_players!A:A,0))</f>
        <v>Assaf</v>
      </c>
      <c r="E54" t="str">
        <f>INDEX(league_players!D:D,MATCH($A54,league_players!$A:$A,0))</f>
        <v>Tarnopolsky</v>
      </c>
      <c r="F54">
        <f t="shared" si="1"/>
        <v>25</v>
      </c>
      <c r="G54" t="s">
        <v>492</v>
      </c>
      <c r="I54" t="s">
        <v>464</v>
      </c>
    </row>
    <row r="55" spans="1:9" x14ac:dyDescent="0.2">
      <c r="A55" t="s">
        <v>355</v>
      </c>
      <c r="B55">
        <v>25</v>
      </c>
      <c r="C55" s="1">
        <v>44927</v>
      </c>
      <c r="D55" t="str">
        <f>INDEX(league_players!C:C,MATCH(A55,league_players!A:A,0))</f>
        <v>Simon</v>
      </c>
      <c r="E55" t="str">
        <f>INDEX(league_players!D:D,MATCH($A55,league_players!$A:$A,0))</f>
        <v>Van Dijk</v>
      </c>
      <c r="F55">
        <f t="shared" si="1"/>
        <v>25</v>
      </c>
      <c r="G55" t="s">
        <v>492</v>
      </c>
      <c r="I55" t="s">
        <v>464</v>
      </c>
    </row>
    <row r="56" spans="1:9" x14ac:dyDescent="0.2">
      <c r="A56" t="s">
        <v>361</v>
      </c>
      <c r="B56">
        <v>27</v>
      </c>
      <c r="C56" s="1">
        <v>44927</v>
      </c>
      <c r="D56" t="str">
        <f>INDEX(league_players!C:C,MATCH(A56,league_players!A:A,0))</f>
        <v>Sophie</v>
      </c>
      <c r="E56" t="str">
        <f>INDEX(league_players!D:D,MATCH($A56,league_players!$A:$A,0))</f>
        <v>Yeung</v>
      </c>
      <c r="F56">
        <f t="shared" si="1"/>
        <v>27</v>
      </c>
      <c r="G56" t="s">
        <v>492</v>
      </c>
      <c r="I56" t="s">
        <v>464</v>
      </c>
    </row>
    <row r="57" spans="1:9" x14ac:dyDescent="0.2">
      <c r="A57" t="s">
        <v>408</v>
      </c>
      <c r="B57">
        <v>28</v>
      </c>
      <c r="C57" s="1">
        <v>44927</v>
      </c>
      <c r="D57" t="str">
        <f>INDEX(league_players!C:C,MATCH(A57,league_players!A:A,0))</f>
        <v>Yean</v>
      </c>
      <c r="E57" t="str">
        <f>INDEX(league_players!D:D,MATCH($A57,league_players!$A:$A,0))</f>
        <v>Chong</v>
      </c>
      <c r="F57">
        <f t="shared" si="1"/>
        <v>28</v>
      </c>
      <c r="G57" t="s">
        <v>492</v>
      </c>
      <c r="I57" t="s">
        <v>464</v>
      </c>
    </row>
    <row r="58" spans="1:9" x14ac:dyDescent="0.2">
      <c r="A58" t="s">
        <v>308</v>
      </c>
      <c r="B58">
        <v>28</v>
      </c>
      <c r="C58" s="1">
        <v>44927</v>
      </c>
      <c r="D58" t="str">
        <f>INDEX(league_players!C:C,MATCH(A58,league_players!A:A,0))</f>
        <v>Qian</v>
      </c>
      <c r="E58" t="str">
        <f>INDEX(league_players!D:D,MATCH($A58,league_players!$A:$A,0))</f>
        <v>Ying Goh</v>
      </c>
      <c r="F58">
        <f t="shared" si="1"/>
        <v>28</v>
      </c>
      <c r="G58" t="s">
        <v>492</v>
      </c>
      <c r="I58" t="s">
        <v>464</v>
      </c>
    </row>
    <row r="59" spans="1:9" x14ac:dyDescent="0.2">
      <c r="A59" t="s">
        <v>224</v>
      </c>
      <c r="B59">
        <v>25</v>
      </c>
      <c r="C59" s="1">
        <v>44927</v>
      </c>
      <c r="D59" t="str">
        <f>INDEX(league_players!C:C,MATCH(A59,league_players!A:A,0))</f>
        <v>Kenichiro</v>
      </c>
      <c r="E59" t="str">
        <f>INDEX(league_players!D:D,MATCH($A59,league_players!$A:$A,0))</f>
        <v>Matsuoka</v>
      </c>
      <c r="F59">
        <f t="shared" si="1"/>
        <v>25</v>
      </c>
      <c r="G59" t="s">
        <v>492</v>
      </c>
      <c r="I59" t="s">
        <v>464</v>
      </c>
    </row>
    <row r="60" spans="1:9" x14ac:dyDescent="0.2">
      <c r="A60" t="s">
        <v>218</v>
      </c>
      <c r="B60">
        <v>14</v>
      </c>
      <c r="C60" s="1">
        <v>44927</v>
      </c>
      <c r="D60" t="str">
        <f>INDEX(league_players!C:C,MATCH(A60,league_players!A:A,0))</f>
        <v>Kaz</v>
      </c>
      <c r="E60" t="str">
        <f>INDEX(league_players!D:D,MATCH($A60,league_players!$A:$A,0))</f>
        <v>Naoki</v>
      </c>
      <c r="F60">
        <f t="shared" si="1"/>
        <v>14</v>
      </c>
      <c r="G60" t="s">
        <v>492</v>
      </c>
      <c r="I60" t="s">
        <v>464</v>
      </c>
    </row>
    <row r="61" spans="1:9" x14ac:dyDescent="0.2">
      <c r="A61" t="s">
        <v>55</v>
      </c>
      <c r="B61">
        <v>17</v>
      </c>
      <c r="C61" s="1">
        <v>44927</v>
      </c>
      <c r="D61" t="str">
        <f>INDEX(league_players!C:C,MATCH(A61,league_players!A:A,0))</f>
        <v>Ashley</v>
      </c>
      <c r="E61" t="str">
        <f>INDEX(league_players!D:D,MATCH($A61,league_players!$A:$A,0))</f>
        <v>Scifleet</v>
      </c>
      <c r="F61">
        <f t="shared" si="1"/>
        <v>17</v>
      </c>
      <c r="G61" t="s">
        <v>492</v>
      </c>
      <c r="I61" t="s">
        <v>464</v>
      </c>
    </row>
    <row r="62" spans="1:9" x14ac:dyDescent="0.2">
      <c r="A62" t="s">
        <v>67</v>
      </c>
      <c r="B62">
        <v>20</v>
      </c>
      <c r="C62" s="1">
        <v>44927</v>
      </c>
      <c r="D62" t="str">
        <f>INDEX(league_players!C:C,MATCH(A62,league_players!A:A,0))</f>
        <v>Carl</v>
      </c>
      <c r="E62" t="str">
        <f>INDEX(league_players!D:D,MATCH($A62,league_players!$A:$A,0))</f>
        <v>Granfelt</v>
      </c>
      <c r="F62">
        <f t="shared" si="1"/>
        <v>20</v>
      </c>
      <c r="G62" t="s">
        <v>492</v>
      </c>
      <c r="I62" t="s">
        <v>464</v>
      </c>
    </row>
    <row r="63" spans="1:9" x14ac:dyDescent="0.2">
      <c r="A63" t="s">
        <v>108</v>
      </c>
      <c r="B63">
        <v>17</v>
      </c>
      <c r="C63" s="1">
        <v>44927</v>
      </c>
      <c r="D63" t="str">
        <f>INDEX(league_players!C:C,MATCH(A63,league_players!A:A,0))</f>
        <v>David</v>
      </c>
      <c r="E63" t="str">
        <f>INDEX(league_players!D:D,MATCH($A63,league_players!$A:$A,0))</f>
        <v>Welch</v>
      </c>
      <c r="F63">
        <f t="shared" si="1"/>
        <v>17</v>
      </c>
      <c r="G63" t="s">
        <v>492</v>
      </c>
      <c r="I63" t="s">
        <v>464</v>
      </c>
    </row>
    <row r="64" spans="1:9" x14ac:dyDescent="0.2">
      <c r="A64" t="s">
        <v>149</v>
      </c>
      <c r="B64">
        <v>25</v>
      </c>
      <c r="C64" s="1">
        <v>44927</v>
      </c>
      <c r="D64" t="str">
        <f>INDEX(league_players!C:C,MATCH(A64,league_players!A:A,0))</f>
        <v>Graham</v>
      </c>
      <c r="E64" t="str">
        <f>INDEX(league_players!D:D,MATCH($A64,league_players!$A:$A,0))</f>
        <v>Isherwood</v>
      </c>
      <c r="F64">
        <f t="shared" si="1"/>
        <v>25</v>
      </c>
      <c r="G64" t="s">
        <v>492</v>
      </c>
      <c r="I64" t="s">
        <v>464</v>
      </c>
    </row>
    <row r="65" spans="1:9" x14ac:dyDescent="0.2">
      <c r="A65" t="s">
        <v>158</v>
      </c>
      <c r="B65">
        <v>25</v>
      </c>
      <c r="C65" s="1">
        <v>44927</v>
      </c>
      <c r="D65" t="str">
        <f>INDEX(league_players!C:C,MATCH(A65,league_players!A:A,0))</f>
        <v>Hiroshi</v>
      </c>
      <c r="E65" t="str">
        <f>INDEX(league_players!D:D,MATCH($A65,league_players!$A:$A,0))</f>
        <v>Yamakawa</v>
      </c>
      <c r="F65">
        <f t="shared" si="1"/>
        <v>25</v>
      </c>
      <c r="G65" t="s">
        <v>492</v>
      </c>
      <c r="I65" t="s">
        <v>464</v>
      </c>
    </row>
    <row r="66" spans="1:9" x14ac:dyDescent="0.2">
      <c r="A66" t="s">
        <v>160</v>
      </c>
      <c r="B66">
        <v>24</v>
      </c>
      <c r="C66" s="1">
        <v>44927</v>
      </c>
      <c r="D66" t="str">
        <f>INDEX(league_players!C:C,MATCH(A66,league_players!A:A,0))</f>
        <v>Houl</v>
      </c>
      <c r="E66" t="str">
        <f>INDEX(league_players!D:D,MATCH($A66,league_players!$A:$A,0))</f>
        <v>Lee</v>
      </c>
      <c r="F66">
        <f t="shared" si="1"/>
        <v>24</v>
      </c>
      <c r="G66" t="s">
        <v>492</v>
      </c>
      <c r="I66" t="s">
        <v>464</v>
      </c>
    </row>
    <row r="67" spans="1:9" x14ac:dyDescent="0.2">
      <c r="A67" t="s">
        <v>167</v>
      </c>
      <c r="B67">
        <v>25</v>
      </c>
      <c r="C67" s="1">
        <v>44927</v>
      </c>
      <c r="D67" t="str">
        <f>INDEX(league_players!C:C,MATCH(A67,league_players!A:A,0))</f>
        <v>Ian</v>
      </c>
      <c r="E67" t="str">
        <f>INDEX(league_players!D:D,MATCH($A67,league_players!$A:$A,0))</f>
        <v>Porteous</v>
      </c>
      <c r="F67">
        <f t="shared" si="1"/>
        <v>25</v>
      </c>
      <c r="G67" t="s">
        <v>492</v>
      </c>
      <c r="I67" t="s">
        <v>464</v>
      </c>
    </row>
    <row r="68" spans="1:9" x14ac:dyDescent="0.2">
      <c r="A68" t="s">
        <v>11</v>
      </c>
      <c r="B68">
        <v>23</v>
      </c>
      <c r="C68" s="1">
        <v>44927</v>
      </c>
      <c r="D68" t="str">
        <f>INDEX(league_players!C:C,MATCH(A68,league_players!A:A,0))</f>
        <v>James</v>
      </c>
      <c r="E68" t="str">
        <f>INDEX(league_players!D:D,MATCH($A68,league_players!$A:$A,0))</f>
        <v>Craik</v>
      </c>
      <c r="F68">
        <f t="shared" si="1"/>
        <v>23</v>
      </c>
      <c r="G68" t="s">
        <v>492</v>
      </c>
      <c r="I68" t="s">
        <v>464</v>
      </c>
    </row>
    <row r="69" spans="1:9" x14ac:dyDescent="0.2">
      <c r="A69" t="s">
        <v>186</v>
      </c>
      <c r="B69">
        <v>14</v>
      </c>
      <c r="C69" s="1">
        <v>44927</v>
      </c>
      <c r="D69" t="str">
        <f>INDEX(league_players!C:C,MATCH(A69,league_players!A:A,0))</f>
        <v>Jean-Romain</v>
      </c>
      <c r="E69" t="str">
        <f>INDEX(league_players!D:D,MATCH($A69,league_players!$A:$A,0))</f>
        <v>Roig</v>
      </c>
      <c r="F69">
        <f t="shared" si="1"/>
        <v>14</v>
      </c>
      <c r="G69" t="s">
        <v>492</v>
      </c>
      <c r="I69" t="s">
        <v>464</v>
      </c>
    </row>
    <row r="70" spans="1:9" x14ac:dyDescent="0.2">
      <c r="A70" t="s">
        <v>232</v>
      </c>
      <c r="B70">
        <v>25</v>
      </c>
      <c r="C70" s="1">
        <v>44927</v>
      </c>
      <c r="D70" t="str">
        <f>INDEX(league_players!C:C,MATCH(A70,league_players!A:A,0))</f>
        <v>Kotaro</v>
      </c>
      <c r="E70" t="str">
        <f>INDEX(league_players!D:D,MATCH($A70,league_players!$A:$A,0))</f>
        <v>Honda</v>
      </c>
      <c r="F70">
        <f t="shared" si="1"/>
        <v>25</v>
      </c>
      <c r="G70" t="s">
        <v>492</v>
      </c>
      <c r="I70" t="s">
        <v>464</v>
      </c>
    </row>
    <row r="71" spans="1:9" x14ac:dyDescent="0.2">
      <c r="A71" t="s">
        <v>254</v>
      </c>
      <c r="B71">
        <v>25</v>
      </c>
      <c r="C71" s="1">
        <v>44927</v>
      </c>
      <c r="D71" t="str">
        <f>INDEX(league_players!C:C,MATCH(A71,league_players!A:A,0))</f>
        <v>Martin</v>
      </c>
      <c r="E71" t="str">
        <f>INDEX(league_players!D:D,MATCH($A71,league_players!$A:$A,0))</f>
        <v>Tan</v>
      </c>
      <c r="F71">
        <f t="shared" si="1"/>
        <v>25</v>
      </c>
      <c r="G71" t="s">
        <v>492</v>
      </c>
      <c r="I71" t="s">
        <v>464</v>
      </c>
    </row>
    <row r="72" spans="1:9" x14ac:dyDescent="0.2">
      <c r="A72" t="s">
        <v>257</v>
      </c>
      <c r="B72">
        <v>20</v>
      </c>
      <c r="C72" s="1">
        <v>44927</v>
      </c>
      <c r="D72" t="str">
        <f>INDEX(league_players!C:C,MATCH(A72,league_players!A:A,0))</f>
        <v>Matt</v>
      </c>
      <c r="E72" t="str">
        <f>INDEX(league_players!D:D,MATCH($A72,league_players!$A:$A,0))</f>
        <v>Komatsu</v>
      </c>
      <c r="F72">
        <f t="shared" si="1"/>
        <v>20</v>
      </c>
      <c r="G72" t="s">
        <v>492</v>
      </c>
      <c r="I72" t="s">
        <v>464</v>
      </c>
    </row>
    <row r="73" spans="1:9" x14ac:dyDescent="0.2">
      <c r="A73" t="s">
        <v>282</v>
      </c>
      <c r="B73">
        <v>9</v>
      </c>
      <c r="C73" s="1">
        <v>44927</v>
      </c>
      <c r="D73" t="str">
        <f>INDEX(league_players!C:C,MATCH(A73,league_players!A:A,0))</f>
        <v>Oli</v>
      </c>
      <c r="E73" t="str">
        <f>INDEX(league_players!D:D,MATCH($A73,league_players!$A:$A,0))</f>
        <v>Hinchliffe</v>
      </c>
      <c r="F73">
        <f t="shared" si="1"/>
        <v>9</v>
      </c>
      <c r="G73" t="s">
        <v>492</v>
      </c>
      <c r="I73" t="s">
        <v>464</v>
      </c>
    </row>
    <row r="74" spans="1:9" x14ac:dyDescent="0.2">
      <c r="A74" t="s">
        <v>304</v>
      </c>
      <c r="B74">
        <v>25</v>
      </c>
      <c r="C74" s="1">
        <v>44927</v>
      </c>
      <c r="D74" t="str">
        <f>INDEX(league_players!C:C,MATCH(A74,league_players!A:A,0))</f>
        <v>Pierre</v>
      </c>
      <c r="E74" t="str">
        <f>INDEX(league_players!D:D,MATCH($A74,league_players!$A:$A,0))</f>
        <v>Momin</v>
      </c>
      <c r="F74">
        <f t="shared" si="1"/>
        <v>25</v>
      </c>
      <c r="G74" t="s">
        <v>492</v>
      </c>
      <c r="I74" t="s">
        <v>464</v>
      </c>
    </row>
    <row r="75" spans="1:9" x14ac:dyDescent="0.2">
      <c r="A75" t="s">
        <v>329</v>
      </c>
      <c r="B75">
        <v>19</v>
      </c>
      <c r="C75" s="1">
        <v>44927</v>
      </c>
      <c r="D75" t="str">
        <f>INDEX(league_players!C:C,MATCH(A75,league_players!A:A,0))</f>
        <v>Sam</v>
      </c>
      <c r="E75" t="str">
        <f>INDEX(league_players!D:D,MATCH($A75,league_players!$A:$A,0))</f>
        <v>Williams</v>
      </c>
      <c r="F75">
        <f t="shared" si="1"/>
        <v>19</v>
      </c>
      <c r="G75" t="s">
        <v>492</v>
      </c>
      <c r="I75" t="s">
        <v>464</v>
      </c>
    </row>
    <row r="76" spans="1:9" x14ac:dyDescent="0.2">
      <c r="A76" t="s">
        <v>347</v>
      </c>
      <c r="B76">
        <v>16</v>
      </c>
      <c r="C76" s="1">
        <v>44927</v>
      </c>
      <c r="D76" t="str">
        <f>INDEX(league_players!C:C,MATCH(A76,league_players!A:A,0))</f>
        <v>Simon</v>
      </c>
      <c r="E76" t="str">
        <f>INDEX(league_players!D:D,MATCH($A76,league_players!$A:$A,0))</f>
        <v>Jones</v>
      </c>
      <c r="F76">
        <f t="shared" si="1"/>
        <v>16</v>
      </c>
      <c r="G76" t="s">
        <v>492</v>
      </c>
      <c r="I76" t="s">
        <v>464</v>
      </c>
    </row>
    <row r="77" spans="1:9" x14ac:dyDescent="0.2">
      <c r="A77" t="s">
        <v>388</v>
      </c>
      <c r="B77">
        <v>22</v>
      </c>
      <c r="C77" s="1">
        <v>44927</v>
      </c>
      <c r="D77" t="str">
        <f>INDEX(league_players!C:C,MATCH(A77,league_players!A:A,0))</f>
        <v>Tom</v>
      </c>
      <c r="E77" t="str">
        <f>INDEX(league_players!D:D,MATCH($A77,league_players!$A:$A,0))</f>
        <v>Sullivan</v>
      </c>
      <c r="F77">
        <f t="shared" si="1"/>
        <v>22</v>
      </c>
      <c r="G77" t="s">
        <v>492</v>
      </c>
      <c r="I77" t="s">
        <v>464</v>
      </c>
    </row>
    <row r="78" spans="1:9" x14ac:dyDescent="0.2">
      <c r="A78" t="s">
        <v>94</v>
      </c>
      <c r="B78">
        <v>25</v>
      </c>
      <c r="C78" s="1">
        <v>44927</v>
      </c>
      <c r="D78" t="str">
        <f>INDEX(league_players!C:C,MATCH(A78,league_players!A:A,0))</f>
        <v>Daniel</v>
      </c>
      <c r="E78" t="str">
        <f>INDEX(league_players!D:D,MATCH($A78,league_players!$A:$A,0))</f>
        <v>Kennedy</v>
      </c>
      <c r="F78">
        <f t="shared" si="1"/>
        <v>25</v>
      </c>
      <c r="G78" t="s">
        <v>492</v>
      </c>
      <c r="I78" t="s">
        <v>464</v>
      </c>
    </row>
    <row r="79" spans="1:9" x14ac:dyDescent="0.2">
      <c r="A79" t="s">
        <v>343</v>
      </c>
      <c r="B79">
        <v>25</v>
      </c>
      <c r="C79" s="1">
        <v>44927</v>
      </c>
      <c r="D79" t="str">
        <f>INDEX(league_players!C:C,MATCH(A79,league_players!A:A,0))</f>
        <v>Shu</v>
      </c>
      <c r="E79" t="str">
        <f>INDEX(league_players!D:D,MATCH($A79,league_players!$A:$A,0))</f>
        <v>Niwa</v>
      </c>
      <c r="F79">
        <f t="shared" si="1"/>
        <v>25</v>
      </c>
      <c r="G79" t="s">
        <v>492</v>
      </c>
      <c r="I79" t="s">
        <v>464</v>
      </c>
    </row>
    <row r="80" spans="1:9" x14ac:dyDescent="0.2">
      <c r="A80" t="s">
        <v>203</v>
      </c>
      <c r="B80">
        <v>4</v>
      </c>
      <c r="C80" s="1">
        <v>44927</v>
      </c>
      <c r="D80" t="str">
        <f>INDEX(league_players!C:C,MATCH(A80,league_players!A:A,0))</f>
        <v>Jonathan</v>
      </c>
      <c r="E80" t="str">
        <f>INDEX(league_players!D:D,MATCH($A80,league_players!$A:$A,0))</f>
        <v>Woodward</v>
      </c>
      <c r="F80">
        <f t="shared" si="1"/>
        <v>4</v>
      </c>
      <c r="G80" t="s">
        <v>492</v>
      </c>
      <c r="I80" t="s">
        <v>464</v>
      </c>
    </row>
    <row r="81" spans="1:9" x14ac:dyDescent="0.2">
      <c r="A81" t="s">
        <v>259</v>
      </c>
      <c r="B81">
        <v>20</v>
      </c>
      <c r="C81" s="1">
        <v>44927</v>
      </c>
      <c r="D81" t="str">
        <f>INDEX(league_players!C:C,MATCH(A81,league_players!A:A,0))</f>
        <v>Matthew</v>
      </c>
      <c r="E81" t="str">
        <f>INDEX(league_players!D:D,MATCH($A81,league_players!$A:$A,0))</f>
        <v>Freilich</v>
      </c>
      <c r="F81">
        <f t="shared" ref="F81:F136" si="2">B81</f>
        <v>20</v>
      </c>
      <c r="G81" t="s">
        <v>492</v>
      </c>
      <c r="I81" t="s">
        <v>464</v>
      </c>
    </row>
    <row r="82" spans="1:9" x14ac:dyDescent="0.2">
      <c r="A82" t="s">
        <v>16</v>
      </c>
      <c r="B82">
        <v>25</v>
      </c>
      <c r="C82" s="1">
        <v>44927</v>
      </c>
      <c r="D82" t="str">
        <f>INDEX(league_players!C:C,MATCH(A82,league_players!A:A,0))</f>
        <v>Abdel</v>
      </c>
      <c r="E82" t="str">
        <f>INDEX(league_players!D:D,MATCH($A82,league_players!$A:$A,0))</f>
        <v>El Ferdi</v>
      </c>
      <c r="F82">
        <f t="shared" si="2"/>
        <v>25</v>
      </c>
      <c r="G82" t="s">
        <v>492</v>
      </c>
      <c r="I82" t="s">
        <v>464</v>
      </c>
    </row>
    <row r="83" spans="1:9" x14ac:dyDescent="0.2">
      <c r="A83" t="s">
        <v>18</v>
      </c>
      <c r="B83">
        <v>16</v>
      </c>
      <c r="C83" s="1">
        <v>44927</v>
      </c>
      <c r="D83" t="str">
        <f>INDEX(league_players!C:C,MATCH(A83,league_players!A:A,0))</f>
        <v>Adam</v>
      </c>
      <c r="E83" t="str">
        <f>INDEX(league_players!D:D,MATCH($A83,league_players!$A:$A,0))</f>
        <v>Maccanti</v>
      </c>
      <c r="F83">
        <f t="shared" si="2"/>
        <v>16</v>
      </c>
      <c r="G83" t="s">
        <v>492</v>
      </c>
      <c r="I83" t="s">
        <v>464</v>
      </c>
    </row>
    <row r="84" spans="1:9" x14ac:dyDescent="0.2">
      <c r="A84" t="s">
        <v>22</v>
      </c>
      <c r="B84">
        <v>28</v>
      </c>
      <c r="C84" s="1">
        <v>44927</v>
      </c>
      <c r="D84" t="str">
        <f>INDEX(league_players!C:C,MATCH(A84,league_players!A:A,0))</f>
        <v>Agneiska</v>
      </c>
      <c r="E84" t="str">
        <f>INDEX(league_players!D:D,MATCH($A84,league_players!$A:$A,0))</f>
        <v>SO</v>
      </c>
      <c r="F84">
        <f t="shared" si="2"/>
        <v>28</v>
      </c>
      <c r="G84" t="s">
        <v>492</v>
      </c>
      <c r="I84" t="s">
        <v>464</v>
      </c>
    </row>
    <row r="85" spans="1:9" x14ac:dyDescent="0.2">
      <c r="A85" t="s">
        <v>32</v>
      </c>
      <c r="B85">
        <v>11</v>
      </c>
      <c r="C85" s="1">
        <v>44927</v>
      </c>
      <c r="D85" t="str">
        <f>INDEX(league_players!C:C,MATCH(A85,league_players!A:A,0))</f>
        <v>Alexander</v>
      </c>
      <c r="E85" t="str">
        <f>INDEX(league_players!D:D,MATCH($A85,league_players!$A:$A,0))</f>
        <v>Thorhauge</v>
      </c>
      <c r="F85">
        <f t="shared" si="2"/>
        <v>11</v>
      </c>
      <c r="G85" t="s">
        <v>492</v>
      </c>
      <c r="I85" t="s">
        <v>464</v>
      </c>
    </row>
    <row r="86" spans="1:9" x14ac:dyDescent="0.2">
      <c r="A86" t="s">
        <v>47</v>
      </c>
      <c r="B86">
        <v>23</v>
      </c>
      <c r="C86" s="1">
        <v>44927</v>
      </c>
      <c r="D86" t="str">
        <f>INDEX(league_players!C:C,MATCH(A86,league_players!A:A,0))</f>
        <v>Antoine</v>
      </c>
      <c r="E86" t="str">
        <f>INDEX(league_players!D:D,MATCH($A86,league_players!$A:$A,0))</f>
        <v>Augustin</v>
      </c>
      <c r="F86">
        <f t="shared" si="2"/>
        <v>23</v>
      </c>
      <c r="G86" t="s">
        <v>492</v>
      </c>
      <c r="I86" t="s">
        <v>464</v>
      </c>
    </row>
    <row r="87" spans="1:9" x14ac:dyDescent="0.2">
      <c r="A87" t="s">
        <v>51</v>
      </c>
      <c r="B87">
        <v>28</v>
      </c>
      <c r="C87" s="1">
        <v>44927</v>
      </c>
      <c r="D87" t="str">
        <f>INDEX(league_players!C:C,MATCH(A87,league_players!A:A,0))</f>
        <v>April</v>
      </c>
      <c r="E87" t="str">
        <f>INDEX(league_players!D:D,MATCH($A87,league_players!$A:$A,0))</f>
        <v>Porteous</v>
      </c>
      <c r="F87">
        <f t="shared" si="2"/>
        <v>28</v>
      </c>
      <c r="G87" t="s">
        <v>492</v>
      </c>
      <c r="I87" t="s">
        <v>464</v>
      </c>
    </row>
    <row r="88" spans="1:9" x14ac:dyDescent="0.2">
      <c r="A88" t="s">
        <v>53</v>
      </c>
      <c r="B88">
        <v>24</v>
      </c>
      <c r="C88" s="1">
        <v>44927</v>
      </c>
      <c r="D88" t="str">
        <f>INDEX(league_players!C:C,MATCH(A88,league_players!A:A,0))</f>
        <v>Arun</v>
      </c>
      <c r="E88" t="str">
        <f>INDEX(league_players!D:D,MATCH($A88,league_players!$A:$A,0))</f>
        <v>Chandramouli</v>
      </c>
      <c r="F88">
        <f t="shared" si="2"/>
        <v>24</v>
      </c>
      <c r="G88" t="s">
        <v>492</v>
      </c>
      <c r="I88" t="s">
        <v>464</v>
      </c>
    </row>
    <row r="89" spans="1:9" x14ac:dyDescent="0.2">
      <c r="A89" t="s">
        <v>75</v>
      </c>
      <c r="B89">
        <v>18</v>
      </c>
      <c r="C89" s="1">
        <v>44927</v>
      </c>
      <c r="D89" t="str">
        <f>INDEX(league_players!C:C,MATCH(A89,league_players!A:A,0))</f>
        <v>Chris</v>
      </c>
      <c r="E89" t="str">
        <f>INDEX(league_players!D:D,MATCH($A89,league_players!$A:$A,0))</f>
        <v>Bezuidenhout </v>
      </c>
      <c r="F89">
        <f t="shared" si="2"/>
        <v>18</v>
      </c>
      <c r="G89" t="s">
        <v>492</v>
      </c>
      <c r="I89" t="s">
        <v>464</v>
      </c>
    </row>
    <row r="90" spans="1:9" x14ac:dyDescent="0.2">
      <c r="A90" t="s">
        <v>85</v>
      </c>
      <c r="B90">
        <v>11</v>
      </c>
      <c r="C90" s="1">
        <v>44927</v>
      </c>
      <c r="D90" t="str">
        <f>INDEX(league_players!C:C,MATCH(A90,league_players!A:A,0))</f>
        <v>Chris</v>
      </c>
      <c r="E90" t="str">
        <f>INDEX(league_players!D:D,MATCH($A90,league_players!$A:$A,0))</f>
        <v>Schneider</v>
      </c>
      <c r="F90">
        <f t="shared" si="2"/>
        <v>11</v>
      </c>
      <c r="G90" t="s">
        <v>492</v>
      </c>
      <c r="I90" t="s">
        <v>464</v>
      </c>
    </row>
    <row r="91" spans="1:9" x14ac:dyDescent="0.2">
      <c r="A91" t="s">
        <v>89</v>
      </c>
      <c r="B91">
        <v>25</v>
      </c>
      <c r="C91" s="1">
        <v>44927</v>
      </c>
      <c r="D91" t="str">
        <f>INDEX(league_players!C:C,MATCH(A91,league_players!A:A,0))</f>
        <v>Christopher</v>
      </c>
      <c r="E91" t="str">
        <f>INDEX(league_players!D:D,MATCH($A91,league_players!$A:$A,0))</f>
        <v>Johnson</v>
      </c>
      <c r="F91">
        <f t="shared" si="2"/>
        <v>25</v>
      </c>
      <c r="G91" t="s">
        <v>492</v>
      </c>
      <c r="I91" t="s">
        <v>464</v>
      </c>
    </row>
    <row r="92" spans="1:9" x14ac:dyDescent="0.2">
      <c r="A92" t="s">
        <v>104</v>
      </c>
      <c r="B92">
        <v>25</v>
      </c>
      <c r="C92" s="1">
        <v>44927</v>
      </c>
      <c r="D92" t="str">
        <f>INDEX(league_players!C:C,MATCH(A92,league_players!A:A,0))</f>
        <v>David</v>
      </c>
      <c r="E92" t="str">
        <f>INDEX(league_players!D:D,MATCH($A92,league_players!$A:$A,0))</f>
        <v>Kim</v>
      </c>
      <c r="F92">
        <f t="shared" si="2"/>
        <v>25</v>
      </c>
      <c r="G92" t="s">
        <v>492</v>
      </c>
      <c r="I92" t="s">
        <v>464</v>
      </c>
    </row>
    <row r="93" spans="1:9" x14ac:dyDescent="0.2">
      <c r="A93" t="s">
        <v>106</v>
      </c>
      <c r="B93">
        <v>19</v>
      </c>
      <c r="C93" s="1">
        <v>44927</v>
      </c>
      <c r="D93" t="str">
        <f>INDEX(league_players!C:C,MATCH(A93,league_players!A:A,0))</f>
        <v>David</v>
      </c>
      <c r="E93" t="str">
        <f>INDEX(league_players!D:D,MATCH($A93,league_players!$A:$A,0))</f>
        <v>Pan</v>
      </c>
      <c r="F93">
        <f t="shared" si="2"/>
        <v>19</v>
      </c>
      <c r="G93" t="s">
        <v>492</v>
      </c>
      <c r="I93" t="s">
        <v>464</v>
      </c>
    </row>
    <row r="94" spans="1:9" x14ac:dyDescent="0.2">
      <c r="A94" t="s">
        <v>124</v>
      </c>
      <c r="B94">
        <v>15</v>
      </c>
      <c r="C94" s="1">
        <v>44927</v>
      </c>
      <c r="D94" t="str">
        <f>INDEX(league_players!C:C,MATCH(A94,league_players!A:A,0))</f>
        <v>EJ</v>
      </c>
      <c r="E94" t="str">
        <f>INDEX(league_players!D:D,MATCH($A94,league_players!$A:$A,0))</f>
        <v>Hwang</v>
      </c>
      <c r="F94">
        <f t="shared" si="2"/>
        <v>15</v>
      </c>
      <c r="G94" t="s">
        <v>492</v>
      </c>
      <c r="I94" t="s">
        <v>464</v>
      </c>
    </row>
    <row r="95" spans="1:9" x14ac:dyDescent="0.2">
      <c r="A95" t="s">
        <v>132</v>
      </c>
      <c r="B95">
        <v>20</v>
      </c>
      <c r="C95" s="1">
        <v>44927</v>
      </c>
      <c r="D95" t="str">
        <f>INDEX(league_players!C:C,MATCH(A95,league_players!A:A,0))</f>
        <v>Fraser</v>
      </c>
      <c r="E95" t="str">
        <f>INDEX(league_players!D:D,MATCH($A95,league_players!$A:$A,0))</f>
        <v>Anderson</v>
      </c>
      <c r="F95">
        <f t="shared" si="2"/>
        <v>20</v>
      </c>
      <c r="G95" t="s">
        <v>492</v>
      </c>
      <c r="I95" t="s">
        <v>464</v>
      </c>
    </row>
    <row r="96" spans="1:9" x14ac:dyDescent="0.2">
      <c r="A96" t="s">
        <v>141</v>
      </c>
      <c r="B96">
        <v>13</v>
      </c>
      <c r="C96" s="1">
        <v>44927</v>
      </c>
      <c r="D96" t="str">
        <f>INDEX(league_players!C:C,MATCH(A96,league_players!A:A,0))</f>
        <v>Geoff</v>
      </c>
      <c r="E96" t="str">
        <f>INDEX(league_players!D:D,MATCH($A96,league_players!$A:$A,0))</f>
        <v>Wyatt</v>
      </c>
      <c r="F96">
        <f t="shared" si="2"/>
        <v>13</v>
      </c>
      <c r="G96" t="s">
        <v>492</v>
      </c>
      <c r="I96" t="s">
        <v>464</v>
      </c>
    </row>
    <row r="97" spans="1:9" x14ac:dyDescent="0.2">
      <c r="A97" t="s">
        <v>145</v>
      </c>
      <c r="B97">
        <v>28</v>
      </c>
      <c r="C97" s="1">
        <v>44927</v>
      </c>
      <c r="D97" t="str">
        <f>INDEX(league_players!C:C,MATCH(A97,league_players!A:A,0))</f>
        <v>Goh</v>
      </c>
      <c r="E97" t="str">
        <f>INDEX(league_players!D:D,MATCH($A97,league_players!$A:$A,0))</f>
        <v>Ying</v>
      </c>
      <c r="F97">
        <f t="shared" si="2"/>
        <v>28</v>
      </c>
      <c r="G97" t="s">
        <v>492</v>
      </c>
      <c r="I97" t="s">
        <v>464</v>
      </c>
    </row>
    <row r="98" spans="1:9" x14ac:dyDescent="0.2">
      <c r="A98" t="s">
        <v>153</v>
      </c>
      <c r="B98">
        <v>21</v>
      </c>
      <c r="C98" s="1">
        <v>44927</v>
      </c>
      <c r="D98" t="str">
        <f>INDEX(league_players!C:C,MATCH(A98,league_players!A:A,0))</f>
        <v>Grant</v>
      </c>
      <c r="E98" t="str">
        <f>INDEX(league_players!D:D,MATCH($A98,league_players!$A:$A,0))</f>
        <v>Dawson</v>
      </c>
      <c r="F98">
        <f t="shared" si="2"/>
        <v>21</v>
      </c>
      <c r="G98" t="s">
        <v>492</v>
      </c>
      <c r="I98" t="s">
        <v>464</v>
      </c>
    </row>
    <row r="99" spans="1:9" x14ac:dyDescent="0.2">
      <c r="A99" t="s">
        <v>14</v>
      </c>
      <c r="B99">
        <v>9</v>
      </c>
      <c r="C99" s="1">
        <v>44927</v>
      </c>
      <c r="D99" t="str">
        <f>INDEX(league_players!C:C,MATCH(A99,league_players!A:A,0))</f>
        <v>Jono</v>
      </c>
      <c r="E99" t="str">
        <f>INDEX(league_players!D:D,MATCH($A99,league_players!$A:$A,0))</f>
        <v>Miles</v>
      </c>
      <c r="F99">
        <f t="shared" si="2"/>
        <v>9</v>
      </c>
      <c r="G99" t="s">
        <v>492</v>
      </c>
      <c r="I99" t="s">
        <v>464</v>
      </c>
    </row>
    <row r="100" spans="1:9" x14ac:dyDescent="0.2">
      <c r="A100" t="s">
        <v>211</v>
      </c>
      <c r="B100">
        <v>15</v>
      </c>
      <c r="C100" s="1">
        <v>44927</v>
      </c>
      <c r="D100" t="str">
        <f>INDEX(league_players!C:C,MATCH(A100,league_players!A:A,0))</f>
        <v>Justin</v>
      </c>
      <c r="E100" t="str">
        <f>INDEX(league_players!D:D,MATCH($A100,league_players!$A:$A,0))</f>
        <v>McCarthy</v>
      </c>
      <c r="F100">
        <f t="shared" si="2"/>
        <v>15</v>
      </c>
      <c r="G100" t="s">
        <v>492</v>
      </c>
      <c r="I100" t="s">
        <v>464</v>
      </c>
    </row>
    <row r="101" spans="1:9" x14ac:dyDescent="0.2">
      <c r="A101" t="s">
        <v>234</v>
      </c>
      <c r="B101">
        <v>25</v>
      </c>
      <c r="C101" s="1">
        <v>44927</v>
      </c>
      <c r="D101" t="str">
        <f>INDEX(league_players!C:C,MATCH(A101,league_players!A:A,0))</f>
        <v>Kunio</v>
      </c>
      <c r="E101" t="str">
        <f>INDEX(league_players!D:D,MATCH($A101,league_players!$A:$A,0))</f>
        <v>Sakaide</v>
      </c>
      <c r="F101">
        <f t="shared" si="2"/>
        <v>25</v>
      </c>
      <c r="G101" t="s">
        <v>492</v>
      </c>
      <c r="I101" t="s">
        <v>464</v>
      </c>
    </row>
    <row r="102" spans="1:9" x14ac:dyDescent="0.2">
      <c r="A102" t="s">
        <v>270</v>
      </c>
      <c r="B102">
        <v>24</v>
      </c>
      <c r="C102" s="1">
        <v>44927</v>
      </c>
      <c r="D102" t="str">
        <f>INDEX(league_players!C:C,MATCH(A102,league_players!A:A,0))</f>
        <v>Miten</v>
      </c>
      <c r="E102" t="str">
        <f>INDEX(league_players!D:D,MATCH($A102,league_players!$A:$A,0))</f>
        <v>Amin</v>
      </c>
      <c r="F102">
        <f t="shared" si="2"/>
        <v>24</v>
      </c>
      <c r="G102" t="s">
        <v>492</v>
      </c>
      <c r="I102" t="s">
        <v>464</v>
      </c>
    </row>
    <row r="103" spans="1:9" x14ac:dyDescent="0.2">
      <c r="A103" t="s">
        <v>290</v>
      </c>
      <c r="B103">
        <v>18</v>
      </c>
      <c r="C103" s="1">
        <v>44927</v>
      </c>
      <c r="D103" t="str">
        <f>INDEX(league_players!C:C,MATCH(A103,league_players!A:A,0))</f>
        <v>Paul</v>
      </c>
      <c r="E103" t="str">
        <f>INDEX(league_players!D:D,MATCH($A103,league_players!$A:$A,0))</f>
        <v>Debourdeau</v>
      </c>
      <c r="F103">
        <f t="shared" si="2"/>
        <v>18</v>
      </c>
      <c r="G103" t="s">
        <v>492</v>
      </c>
      <c r="I103" t="s">
        <v>464</v>
      </c>
    </row>
    <row r="104" spans="1:9" x14ac:dyDescent="0.2">
      <c r="A104" t="s">
        <v>314</v>
      </c>
      <c r="B104">
        <v>18</v>
      </c>
      <c r="C104" s="1">
        <v>44927</v>
      </c>
      <c r="D104" t="str">
        <f>INDEX(league_players!C:C,MATCH(A104,league_players!A:A,0))</f>
        <v>Richard</v>
      </c>
      <c r="E104" t="str">
        <f>INDEX(league_players!D:D,MATCH($A104,league_players!$A:$A,0))</f>
        <v>Abrahams</v>
      </c>
      <c r="F104">
        <f t="shared" si="2"/>
        <v>18</v>
      </c>
      <c r="G104" t="s">
        <v>492</v>
      </c>
      <c r="I104" t="s">
        <v>464</v>
      </c>
    </row>
    <row r="105" spans="1:9" x14ac:dyDescent="0.2">
      <c r="A105" t="s">
        <v>337</v>
      </c>
      <c r="B105">
        <v>21</v>
      </c>
      <c r="C105" s="1">
        <v>44927</v>
      </c>
      <c r="D105" t="str">
        <f>INDEX(league_players!C:C,MATCH(A105,league_players!A:A,0))</f>
        <v>Shane</v>
      </c>
      <c r="E105" t="str">
        <f>INDEX(league_players!D:D,MATCH($A105,league_players!$A:$A,0))</f>
        <v>Flaherty</v>
      </c>
      <c r="F105">
        <f t="shared" si="2"/>
        <v>21</v>
      </c>
      <c r="G105" t="s">
        <v>492</v>
      </c>
      <c r="I105" t="s">
        <v>464</v>
      </c>
    </row>
    <row r="106" spans="1:9" x14ac:dyDescent="0.2">
      <c r="A106" t="s">
        <v>396</v>
      </c>
      <c r="B106">
        <v>17</v>
      </c>
      <c r="C106" s="1">
        <v>44927</v>
      </c>
      <c r="D106" t="str">
        <f>INDEX(league_players!C:C,MATCH(A106,league_players!A:A,0))</f>
        <v>Wes</v>
      </c>
      <c r="E106" t="str">
        <f>INDEX(league_players!D:D,MATCH($A106,league_players!$A:$A,0))</f>
        <v>Steinman</v>
      </c>
      <c r="F106">
        <f t="shared" si="2"/>
        <v>17</v>
      </c>
      <c r="G106" t="s">
        <v>492</v>
      </c>
      <c r="I106" t="s">
        <v>464</v>
      </c>
    </row>
    <row r="107" spans="1:9" x14ac:dyDescent="0.2">
      <c r="A107" t="s">
        <v>402</v>
      </c>
      <c r="B107">
        <v>25</v>
      </c>
      <c r="C107" s="1">
        <v>44927</v>
      </c>
      <c r="D107" t="str">
        <f>INDEX(league_players!C:C,MATCH(A107,league_players!A:A,0))</f>
        <v>Yang</v>
      </c>
      <c r="E107" t="str">
        <f>INDEX(league_players!D:D,MATCH($A107,league_players!$A:$A,0))</f>
        <v>He</v>
      </c>
      <c r="F107">
        <f t="shared" si="2"/>
        <v>25</v>
      </c>
      <c r="G107" t="s">
        <v>492</v>
      </c>
      <c r="I107" t="s">
        <v>464</v>
      </c>
    </row>
    <row r="108" spans="1:9" x14ac:dyDescent="0.2">
      <c r="A108" t="s">
        <v>83</v>
      </c>
      <c r="B108">
        <v>9</v>
      </c>
      <c r="C108" s="1">
        <v>44927</v>
      </c>
      <c r="D108" t="str">
        <f>INDEX(league_players!C:C,MATCH(A108,league_players!A:A,0))</f>
        <v>Chris</v>
      </c>
      <c r="E108" t="str">
        <f>INDEX(league_players!D:D,MATCH($A108,league_players!$A:$A,0))</f>
        <v>Kelata</v>
      </c>
      <c r="F108">
        <f t="shared" si="2"/>
        <v>9</v>
      </c>
      <c r="G108" t="s">
        <v>492</v>
      </c>
      <c r="I108" t="s">
        <v>464</v>
      </c>
    </row>
    <row r="109" spans="1:9" x14ac:dyDescent="0.2">
      <c r="A109" t="s">
        <v>374</v>
      </c>
      <c r="B109">
        <v>25</v>
      </c>
      <c r="C109" s="1">
        <v>44927</v>
      </c>
      <c r="D109" t="str">
        <f>INDEX(league_players!C:C,MATCH(A109,league_players!A:A,0))</f>
        <v>Stuart</v>
      </c>
      <c r="E109" t="str">
        <f>INDEX(league_players!D:D,MATCH($A109,league_players!$A:$A,0))</f>
        <v>Knowling</v>
      </c>
      <c r="F109">
        <f t="shared" si="2"/>
        <v>25</v>
      </c>
      <c r="G109" t="s">
        <v>492</v>
      </c>
      <c r="I109" t="s">
        <v>464</v>
      </c>
    </row>
    <row r="110" spans="1:9" x14ac:dyDescent="0.2">
      <c r="A110" t="s">
        <v>143</v>
      </c>
      <c r="B110">
        <v>25</v>
      </c>
      <c r="C110" s="1">
        <v>44927</v>
      </c>
      <c r="D110" t="str">
        <f>INDEX(league_players!C:C,MATCH(A110,league_players!A:A,0))</f>
        <v>George</v>
      </c>
      <c r="E110" t="str">
        <f>INDEX(league_players!D:D,MATCH($A110,league_players!$A:$A,0))</f>
        <v>Hindmarsh</v>
      </c>
      <c r="F110">
        <f t="shared" si="2"/>
        <v>25</v>
      </c>
      <c r="G110" t="s">
        <v>492</v>
      </c>
      <c r="I110" t="s">
        <v>464</v>
      </c>
    </row>
    <row r="111" spans="1:9" x14ac:dyDescent="0.2">
      <c r="A111" t="s">
        <v>139</v>
      </c>
      <c r="B111">
        <v>25</v>
      </c>
      <c r="C111" s="1">
        <v>44927</v>
      </c>
      <c r="D111" t="str">
        <f>INDEX(league_players!C:C,MATCH(A111,league_players!A:A,0))</f>
        <v>Gaurav</v>
      </c>
      <c r="E111" t="str">
        <f>INDEX(league_players!D:D,MATCH($A111,league_players!$A:$A,0))</f>
        <v>Bhagat</v>
      </c>
      <c r="F111">
        <f t="shared" si="2"/>
        <v>25</v>
      </c>
      <c r="G111" t="s">
        <v>492</v>
      </c>
      <c r="I111" t="s">
        <v>464</v>
      </c>
    </row>
    <row r="112" spans="1:9" x14ac:dyDescent="0.2">
      <c r="A112" t="s">
        <v>230</v>
      </c>
      <c r="B112">
        <v>15</v>
      </c>
      <c r="C112" s="1">
        <v>44927</v>
      </c>
      <c r="D112" t="str">
        <f>INDEX(league_players!C:C,MATCH(A112,league_players!A:A,0))</f>
        <v>Kinsey</v>
      </c>
      <c r="E112" t="str">
        <f>INDEX(league_players!D:D,MATCH($A112,league_players!$A:$A,0))</f>
        <v>Cotton</v>
      </c>
      <c r="F112">
        <f t="shared" si="2"/>
        <v>15</v>
      </c>
      <c r="G112" t="s">
        <v>492</v>
      </c>
      <c r="I112" t="s">
        <v>464</v>
      </c>
    </row>
    <row r="113" spans="1:9" x14ac:dyDescent="0.2">
      <c r="A113" t="s">
        <v>4</v>
      </c>
      <c r="B113">
        <v>25</v>
      </c>
      <c r="C113" s="1">
        <v>44927</v>
      </c>
      <c r="D113" t="str">
        <f>INDEX(league_players!C:C,MATCH(A113,league_players!A:A,0))</f>
        <v>Edward</v>
      </c>
      <c r="E113" t="str">
        <f>INDEX(league_players!D:D,MATCH($A113,league_players!$A:$A,0))</f>
        <v>Mills</v>
      </c>
      <c r="F113">
        <f t="shared" si="2"/>
        <v>25</v>
      </c>
      <c r="G113" t="s">
        <v>492</v>
      </c>
      <c r="I113" t="s">
        <v>464</v>
      </c>
    </row>
    <row r="114" spans="1:9" x14ac:dyDescent="0.2">
      <c r="A114" t="s">
        <v>45</v>
      </c>
      <c r="B114">
        <v>28</v>
      </c>
      <c r="C114" s="1">
        <v>44927</v>
      </c>
      <c r="D114" t="str">
        <f>INDEX(league_players!C:C,MATCH(A114,league_players!A:A,0))</f>
        <v>Annie</v>
      </c>
      <c r="E114" t="str">
        <f>INDEX(league_players!D:D,MATCH($A114,league_players!$A:$A,0))</f>
        <v>Bang</v>
      </c>
      <c r="F114">
        <f t="shared" si="2"/>
        <v>28</v>
      </c>
      <c r="G114" t="s">
        <v>492</v>
      </c>
      <c r="I114" t="s">
        <v>464</v>
      </c>
    </row>
    <row r="115" spans="1:9" x14ac:dyDescent="0.2">
      <c r="A115" t="s">
        <v>79</v>
      </c>
      <c r="B115">
        <v>12</v>
      </c>
      <c r="C115" s="1">
        <v>44927</v>
      </c>
      <c r="D115" t="str">
        <f>INDEX(league_players!C:C,MATCH(A115,league_players!A:A,0))</f>
        <v>Chris</v>
      </c>
      <c r="E115" t="str">
        <f>INDEX(league_players!D:D,MATCH($A115,league_players!$A:$A,0))</f>
        <v>Emslie</v>
      </c>
      <c r="F115">
        <f t="shared" si="2"/>
        <v>12</v>
      </c>
      <c r="G115" t="s">
        <v>492</v>
      </c>
      <c r="I115" t="s">
        <v>464</v>
      </c>
    </row>
    <row r="116" spans="1:9" x14ac:dyDescent="0.2">
      <c r="A116" t="s">
        <v>386</v>
      </c>
      <c r="B116">
        <v>25</v>
      </c>
      <c r="C116" s="1">
        <v>44927</v>
      </c>
      <c r="D116" t="str">
        <f>INDEX(league_players!C:C,MATCH(A116,league_players!A:A,0))</f>
        <v>Tom</v>
      </c>
      <c r="E116" t="str">
        <f>INDEX(league_players!D:D,MATCH($A116,league_players!$A:$A,0))</f>
        <v>Stephens</v>
      </c>
      <c r="F116">
        <f t="shared" si="2"/>
        <v>25</v>
      </c>
      <c r="G116" t="s">
        <v>492</v>
      </c>
      <c r="I116" t="s">
        <v>464</v>
      </c>
    </row>
    <row r="117" spans="1:9" x14ac:dyDescent="0.2">
      <c r="A117" t="s">
        <v>296</v>
      </c>
      <c r="B117">
        <v>22</v>
      </c>
      <c r="C117" s="1">
        <v>44927</v>
      </c>
      <c r="D117" t="str">
        <f>INDEX(league_players!C:C,MATCH(A117,league_players!A:A,0))</f>
        <v>Peter</v>
      </c>
      <c r="E117" t="str">
        <f>INDEX(league_players!D:D,MATCH($A117,league_players!$A:$A,0))</f>
        <v>Hipolito</v>
      </c>
      <c r="F117">
        <f t="shared" si="2"/>
        <v>22</v>
      </c>
      <c r="G117" t="s">
        <v>492</v>
      </c>
      <c r="I117" t="s">
        <v>464</v>
      </c>
    </row>
    <row r="118" spans="1:9" x14ac:dyDescent="0.2">
      <c r="A118" t="s">
        <v>276</v>
      </c>
      <c r="B118">
        <v>25</v>
      </c>
      <c r="C118" s="1">
        <v>44927</v>
      </c>
      <c r="D118" t="str">
        <f>INDEX(league_players!C:C,MATCH(A118,league_players!A:A,0))</f>
        <v>Nicholas</v>
      </c>
      <c r="E118" t="str">
        <f>INDEX(league_players!D:D,MATCH($A118,league_players!$A:$A,0))</f>
        <v>Stipp</v>
      </c>
      <c r="F118">
        <f t="shared" si="2"/>
        <v>25</v>
      </c>
      <c r="G118" t="s">
        <v>492</v>
      </c>
      <c r="I118" t="s">
        <v>464</v>
      </c>
    </row>
    <row r="119" spans="1:9" x14ac:dyDescent="0.2">
      <c r="A119" t="s">
        <v>188</v>
      </c>
      <c r="B119">
        <v>14</v>
      </c>
      <c r="C119" s="1">
        <v>44927</v>
      </c>
      <c r="D119" t="str">
        <f>INDEX(league_players!C:C,MATCH(A119,league_players!A:A,0))</f>
        <v>Jeannette</v>
      </c>
      <c r="E119" t="str">
        <f>INDEX(league_players!D:D,MATCH($A119,league_players!$A:$A,0))</f>
        <v>Chan</v>
      </c>
      <c r="F119">
        <f t="shared" si="2"/>
        <v>14</v>
      </c>
      <c r="G119" t="s">
        <v>492</v>
      </c>
      <c r="I119" t="s">
        <v>464</v>
      </c>
    </row>
    <row r="120" spans="1:9" x14ac:dyDescent="0.2">
      <c r="A120" t="s">
        <v>128</v>
      </c>
      <c r="B120">
        <v>13</v>
      </c>
      <c r="C120" s="1">
        <v>44927</v>
      </c>
      <c r="D120" t="str">
        <f>INDEX(league_players!C:C,MATCH(A120,league_players!A:A,0))</f>
        <v>Florian</v>
      </c>
      <c r="E120" t="str">
        <f>INDEX(league_players!D:D,MATCH($A120,league_players!$A:$A,0))</f>
        <v>Dumas</v>
      </c>
      <c r="F120">
        <f t="shared" si="2"/>
        <v>13</v>
      </c>
      <c r="G120" t="s">
        <v>492</v>
      </c>
      <c r="I120" t="s">
        <v>464</v>
      </c>
    </row>
    <row r="121" spans="1:9" x14ac:dyDescent="0.2">
      <c r="A121" t="s">
        <v>398</v>
      </c>
      <c r="B121">
        <v>17</v>
      </c>
      <c r="C121" s="1">
        <v>44927</v>
      </c>
      <c r="D121" t="str">
        <f>INDEX(league_players!C:C,MATCH(A121,league_players!A:A,0))</f>
        <v>William</v>
      </c>
      <c r="E121" t="str">
        <f>INDEX(league_players!D:D,MATCH($A121,league_players!$A:$A,0))</f>
        <v>Lu</v>
      </c>
      <c r="F121">
        <f t="shared" si="2"/>
        <v>17</v>
      </c>
      <c r="G121" t="s">
        <v>492</v>
      </c>
      <c r="I121" t="s">
        <v>464</v>
      </c>
    </row>
    <row r="122" spans="1:9" x14ac:dyDescent="0.2">
      <c r="A122" t="s">
        <v>81</v>
      </c>
      <c r="B122">
        <v>25</v>
      </c>
      <c r="C122" s="1">
        <v>44927</v>
      </c>
      <c r="D122" t="str">
        <f>INDEX(league_players!C:C,MATCH(A122,league_players!A:A,0))</f>
        <v>Chris</v>
      </c>
      <c r="E122" t="str">
        <f>INDEX(league_players!D:D,MATCH($A122,league_players!$A:$A,0))</f>
        <v>Johnson</v>
      </c>
      <c r="F122">
        <f t="shared" si="2"/>
        <v>25</v>
      </c>
      <c r="G122" t="s">
        <v>492</v>
      </c>
      <c r="I122" t="s">
        <v>464</v>
      </c>
    </row>
    <row r="123" spans="1:9" x14ac:dyDescent="0.2">
      <c r="A123" t="s">
        <v>351</v>
      </c>
      <c r="B123">
        <v>25</v>
      </c>
      <c r="C123" s="1">
        <v>44927</v>
      </c>
      <c r="D123" t="str">
        <f>INDEX(league_players!C:C,MATCH(A123,league_players!A:A,0))</f>
        <v>Simon</v>
      </c>
      <c r="E123" t="str">
        <f>INDEX(league_players!D:D,MATCH($A123,league_players!$A:$A,0))</f>
        <v>Porter</v>
      </c>
      <c r="F123">
        <f t="shared" si="2"/>
        <v>25</v>
      </c>
      <c r="G123" t="s">
        <v>492</v>
      </c>
      <c r="I123" t="s">
        <v>464</v>
      </c>
    </row>
    <row r="124" spans="1:9" x14ac:dyDescent="0.2">
      <c r="A124" t="s">
        <v>69</v>
      </c>
      <c r="B124">
        <v>19</v>
      </c>
      <c r="C124" s="1">
        <v>44927</v>
      </c>
      <c r="D124" t="str">
        <f>INDEX(league_players!C:C,MATCH(A124,league_players!A:A,0))</f>
        <v>Carl</v>
      </c>
      <c r="E124" t="str">
        <f>INDEX(league_players!D:D,MATCH($A124,league_players!$A:$A,0))</f>
        <v>Richter</v>
      </c>
      <c r="F124">
        <f t="shared" si="2"/>
        <v>19</v>
      </c>
      <c r="G124" t="s">
        <v>492</v>
      </c>
      <c r="I124" t="s">
        <v>464</v>
      </c>
    </row>
    <row r="125" spans="1:9" x14ac:dyDescent="0.2">
      <c r="A125" t="s">
        <v>357</v>
      </c>
      <c r="B125">
        <v>22</v>
      </c>
      <c r="C125" s="1">
        <v>44927</v>
      </c>
      <c r="D125" t="str">
        <f>INDEX(league_players!C:C,MATCH(A125,league_players!A:A,0))</f>
        <v>Simon</v>
      </c>
      <c r="E125" t="str">
        <f>INDEX(league_players!D:D,MATCH($A125,league_players!$A:$A,0))</f>
        <v>Ward</v>
      </c>
      <c r="F125">
        <f t="shared" si="2"/>
        <v>22</v>
      </c>
      <c r="G125" t="s">
        <v>492</v>
      </c>
      <c r="I125" t="s">
        <v>464</v>
      </c>
    </row>
    <row r="126" spans="1:9" x14ac:dyDescent="0.2">
      <c r="A126" t="s">
        <v>26</v>
      </c>
      <c r="B126">
        <v>25</v>
      </c>
      <c r="C126" s="1">
        <v>44927</v>
      </c>
      <c r="D126" t="str">
        <f>INDEX(league_players!C:C,MATCH(A126,league_players!A:A,0))</f>
        <v>Aleks</v>
      </c>
      <c r="E126" t="str">
        <f>INDEX(league_players!D:D,MATCH($A126,league_players!$A:$A,0))</f>
        <v>Piskorz</v>
      </c>
      <c r="F126">
        <f t="shared" si="2"/>
        <v>25</v>
      </c>
      <c r="G126" t="s">
        <v>492</v>
      </c>
      <c r="I126" t="s">
        <v>464</v>
      </c>
    </row>
    <row r="127" spans="1:9" x14ac:dyDescent="0.2">
      <c r="A127" t="s">
        <v>302</v>
      </c>
      <c r="B127">
        <v>14</v>
      </c>
      <c r="C127" s="1">
        <v>44927</v>
      </c>
      <c r="D127" t="str">
        <f>INDEX(league_players!C:C,MATCH(A127,league_players!A:A,0))</f>
        <v>Phillip</v>
      </c>
      <c r="E127" t="str">
        <f>INDEX(league_players!D:D,MATCH($A127,league_players!$A:$A,0))</f>
        <v>Van Dine</v>
      </c>
      <c r="F127">
        <f t="shared" si="2"/>
        <v>14</v>
      </c>
      <c r="G127" t="s">
        <v>492</v>
      </c>
      <c r="I127" t="s">
        <v>464</v>
      </c>
    </row>
    <row r="128" spans="1:9" x14ac:dyDescent="0.2">
      <c r="A128" t="s">
        <v>331</v>
      </c>
      <c r="B128">
        <v>25</v>
      </c>
      <c r="C128" s="1">
        <v>44927</v>
      </c>
      <c r="D128" t="str">
        <f>INDEX(league_players!C:C,MATCH(A128,league_players!A:A,0))</f>
        <v>Sammy</v>
      </c>
      <c r="E128" t="str">
        <f>INDEX(league_players!D:D,MATCH($A128,league_players!$A:$A,0))</f>
        <v>Elazab</v>
      </c>
      <c r="F128">
        <f t="shared" si="2"/>
        <v>25</v>
      </c>
      <c r="G128" t="s">
        <v>492</v>
      </c>
      <c r="I128" t="s">
        <v>464</v>
      </c>
    </row>
    <row r="129" spans="1:9" x14ac:dyDescent="0.2">
      <c r="A129" t="s">
        <v>292</v>
      </c>
      <c r="B129">
        <v>19</v>
      </c>
      <c r="C129" s="1">
        <v>44927</v>
      </c>
      <c r="D129" t="str">
        <f>INDEX(league_players!C:C,MATCH(A129,league_players!A:A,0))</f>
        <v>Paul</v>
      </c>
      <c r="E129" t="str">
        <f>INDEX(league_players!D:D,MATCH($A129,league_players!$A:$A,0))</f>
        <v>Gray</v>
      </c>
      <c r="F129">
        <f t="shared" si="2"/>
        <v>19</v>
      </c>
      <c r="G129" t="s">
        <v>492</v>
      </c>
      <c r="I129" t="s">
        <v>464</v>
      </c>
    </row>
    <row r="130" spans="1:9" x14ac:dyDescent="0.2">
      <c r="A130" t="s">
        <v>242</v>
      </c>
      <c r="B130">
        <v>23</v>
      </c>
      <c r="C130" s="1">
        <v>44927</v>
      </c>
      <c r="D130" t="str">
        <f>INDEX(league_players!C:C,MATCH(A130,league_players!A:A,0))</f>
        <v>Luke</v>
      </c>
      <c r="E130" t="str">
        <f>INDEX(league_players!D:D,MATCH($A130,league_players!$A:$A,0))</f>
        <v>Boland</v>
      </c>
      <c r="F130">
        <f t="shared" si="2"/>
        <v>23</v>
      </c>
      <c r="G130" t="s">
        <v>492</v>
      </c>
      <c r="I130" t="s">
        <v>464</v>
      </c>
    </row>
    <row r="131" spans="1:9" x14ac:dyDescent="0.2">
      <c r="A131" t="s">
        <v>339</v>
      </c>
      <c r="B131">
        <v>14</v>
      </c>
      <c r="C131" s="1">
        <v>44927</v>
      </c>
      <c r="D131" t="str">
        <f>INDEX(league_players!C:C,MATCH(A131,league_players!A:A,0))</f>
        <v>Shishir</v>
      </c>
      <c r="E131" t="str">
        <f>INDEX(league_players!D:D,MATCH($A131,league_players!$A:$A,0))</f>
        <v>Prasad</v>
      </c>
      <c r="F131">
        <f t="shared" si="2"/>
        <v>14</v>
      </c>
      <c r="G131" t="s">
        <v>492</v>
      </c>
      <c r="I131" t="s">
        <v>464</v>
      </c>
    </row>
    <row r="132" spans="1:9" x14ac:dyDescent="0.2">
      <c r="A132" t="s">
        <v>20</v>
      </c>
      <c r="B132">
        <v>25</v>
      </c>
      <c r="C132" s="1">
        <v>44927</v>
      </c>
      <c r="D132" t="str">
        <f>INDEX(league_players!C:C,MATCH(A132,league_players!A:A,0))</f>
        <v>Adrian</v>
      </c>
      <c r="E132" t="str">
        <f>INDEX(league_players!D:D,MATCH($A132,league_players!$A:$A,0))</f>
        <v>Griffiths</v>
      </c>
      <c r="F132">
        <f t="shared" si="2"/>
        <v>25</v>
      </c>
      <c r="G132" t="s">
        <v>492</v>
      </c>
      <c r="I132" t="s">
        <v>464</v>
      </c>
    </row>
    <row r="133" spans="1:9" x14ac:dyDescent="0.2">
      <c r="A133" t="s">
        <v>286</v>
      </c>
      <c r="B133">
        <v>25</v>
      </c>
      <c r="C133" s="1">
        <v>44927</v>
      </c>
      <c r="D133" t="str">
        <f>INDEX(league_players!C:C,MATCH(A133,league_players!A:A,0))</f>
        <v>Patrice</v>
      </c>
      <c r="E133" t="str">
        <f>INDEX(league_players!D:D,MATCH($A133,league_players!$A:$A,0))</f>
        <v>Magret Delord</v>
      </c>
      <c r="F133">
        <f t="shared" si="2"/>
        <v>25</v>
      </c>
      <c r="G133" t="s">
        <v>492</v>
      </c>
      <c r="I133" t="s">
        <v>464</v>
      </c>
    </row>
    <row r="134" spans="1:9" x14ac:dyDescent="0.2">
      <c r="A134" t="s">
        <v>114</v>
      </c>
      <c r="B134">
        <v>19</v>
      </c>
      <c r="C134" s="1">
        <v>44927</v>
      </c>
      <c r="D134" t="str">
        <f>INDEX(league_players!C:C,MATCH(A134,league_players!A:A,0))</f>
        <v>Donguk</v>
      </c>
      <c r="E134" t="str">
        <f>INDEX(league_players!D:D,MATCH($A134,league_players!$A:$A,0))</f>
        <v>Chung</v>
      </c>
      <c r="F134">
        <f t="shared" si="2"/>
        <v>19</v>
      </c>
      <c r="G134" t="s">
        <v>492</v>
      </c>
      <c r="I134" t="s">
        <v>464</v>
      </c>
    </row>
    <row r="135" spans="1:9" x14ac:dyDescent="0.2">
      <c r="A135" t="s">
        <v>49</v>
      </c>
      <c r="B135">
        <v>15</v>
      </c>
      <c r="C135" s="1">
        <v>44927</v>
      </c>
      <c r="D135" t="str">
        <f>INDEX(league_players!C:C,MATCH(A135,league_players!A:A,0))</f>
        <v>Antoine</v>
      </c>
      <c r="E135" t="str">
        <f>INDEX(league_players!D:D,MATCH($A135,league_players!$A:$A,0))</f>
        <v>Ducarme</v>
      </c>
      <c r="F135">
        <f t="shared" si="2"/>
        <v>15</v>
      </c>
      <c r="G135" t="s">
        <v>492</v>
      </c>
      <c r="I135" t="s">
        <v>464</v>
      </c>
    </row>
    <row r="136" spans="1:9" x14ac:dyDescent="0.2">
      <c r="A136" t="s">
        <v>341</v>
      </c>
      <c r="B136">
        <v>28</v>
      </c>
      <c r="C136" s="1">
        <v>44927</v>
      </c>
      <c r="D136" t="str">
        <f>INDEX(league_players!C:C,MATCH(A136,league_players!A:A,0))</f>
        <v>Shu</v>
      </c>
      <c r="E136" t="str">
        <f>INDEX(league_players!D:D,MATCH($A136,league_players!$A:$A,0))</f>
        <v>Liu</v>
      </c>
      <c r="F136">
        <f t="shared" si="2"/>
        <v>28</v>
      </c>
      <c r="G136" t="s">
        <v>492</v>
      </c>
      <c r="I136" t="s">
        <v>464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A6A0-BA00-F642-AC27-B10A94772E88}">
  <sheetPr codeName="Sheet6"/>
  <dimension ref="A1:F4"/>
  <sheetViews>
    <sheetView topLeftCell="D2" zoomScaleNormal="100" workbookViewId="0">
      <selection activeCell="C3" sqref="C3"/>
    </sheetView>
  </sheetViews>
  <sheetFormatPr baseColWidth="10" defaultRowHeight="16" x14ac:dyDescent="0.2"/>
  <sheetData>
    <row r="1" spans="1:6" x14ac:dyDescent="0.2">
      <c r="A1" t="s">
        <v>419</v>
      </c>
      <c r="B1" t="s">
        <v>473</v>
      </c>
      <c r="C1" t="s">
        <v>474</v>
      </c>
      <c r="F1" s="2" t="s">
        <v>446</v>
      </c>
    </row>
    <row r="2" spans="1:6" x14ac:dyDescent="0.2">
      <c r="A2" t="s">
        <v>475</v>
      </c>
      <c r="B2" t="s">
        <v>420</v>
      </c>
      <c r="C2" t="s">
        <v>476</v>
      </c>
      <c r="F2" s="2" t="s">
        <v>447</v>
      </c>
    </row>
    <row r="3" spans="1:6" x14ac:dyDescent="0.2">
      <c r="F3" s="2" t="s">
        <v>448</v>
      </c>
    </row>
    <row r="4" spans="1:6" x14ac:dyDescent="0.2">
      <c r="F4" s="2" t="s">
        <v>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7BAB-9640-7942-A50E-58A40D408BEC}">
  <sheetPr codeName="Sheet7"/>
  <dimension ref="A1:O250"/>
  <sheetViews>
    <sheetView topLeftCell="A65" workbookViewId="0">
      <selection activeCell="K70" sqref="K70"/>
    </sheetView>
  </sheetViews>
  <sheetFormatPr baseColWidth="10" defaultRowHeight="16" x14ac:dyDescent="0.2"/>
  <cols>
    <col min="1" max="1" width="19" bestFit="1" customWidth="1"/>
    <col min="9" max="9" width="9.83203125" bestFit="1" customWidth="1"/>
    <col min="10" max="10" width="11" bestFit="1" customWidth="1"/>
    <col min="14" max="14" width="11.5" bestFit="1" customWidth="1"/>
  </cols>
  <sheetData>
    <row r="1" spans="1:15" x14ac:dyDescent="0.2">
      <c r="A1" t="s">
        <v>0</v>
      </c>
      <c r="B1" t="s">
        <v>478</v>
      </c>
      <c r="C1" t="s">
        <v>479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s="6" t="s">
        <v>494</v>
      </c>
      <c r="K1" t="s">
        <v>495</v>
      </c>
      <c r="L1" t="s">
        <v>502</v>
      </c>
      <c r="M1" t="s">
        <v>503</v>
      </c>
      <c r="N1" t="s">
        <v>504</v>
      </c>
      <c r="O1" t="s">
        <v>505</v>
      </c>
    </row>
    <row r="2" spans="1:15" x14ac:dyDescent="0.2">
      <c r="A2" s="3" t="s">
        <v>157</v>
      </c>
      <c r="B2">
        <v>10.5</v>
      </c>
      <c r="C2">
        <v>0</v>
      </c>
      <c r="D2">
        <v>73</v>
      </c>
      <c r="E2">
        <v>84</v>
      </c>
      <c r="F2">
        <v>0</v>
      </c>
      <c r="G2">
        <v>10.5</v>
      </c>
      <c r="H2">
        <v>35</v>
      </c>
      <c r="I2" t="s">
        <v>486</v>
      </c>
      <c r="J2" s="6">
        <v>44927</v>
      </c>
      <c r="K2" s="1">
        <v>44945</v>
      </c>
      <c r="L2" t="str">
        <f>INDEX(league_players!C:C,MATCH($A2,league_players!$A:$A,0))</f>
        <v>Guillaume</v>
      </c>
      <c r="M2" t="str">
        <f>INDEX(league_players!D:D,MATCH($A2,league_players!$A:$A,0))</f>
        <v>Augustin</v>
      </c>
      <c r="N2" s="1">
        <v>44944</v>
      </c>
      <c r="O2" s="1">
        <f>K2+1</f>
        <v>44946</v>
      </c>
    </row>
    <row r="3" spans="1:15" x14ac:dyDescent="0.2">
      <c r="A3" s="3" t="s">
        <v>207</v>
      </c>
      <c r="B3">
        <v>12</v>
      </c>
      <c r="C3">
        <v>-1</v>
      </c>
      <c r="D3">
        <v>72</v>
      </c>
      <c r="E3">
        <v>84</v>
      </c>
      <c r="F3">
        <v>-0.5</v>
      </c>
      <c r="G3">
        <v>11.5</v>
      </c>
      <c r="H3">
        <v>50</v>
      </c>
      <c r="I3" t="s">
        <v>486</v>
      </c>
      <c r="J3" s="6">
        <v>44927</v>
      </c>
      <c r="K3" s="1">
        <v>44945</v>
      </c>
      <c r="L3" t="str">
        <f>INDEX(league_players!C:C,MATCH($A3,league_players!$A:$A,0))</f>
        <v>Jonty</v>
      </c>
      <c r="M3" t="str">
        <f>INDEX(league_players!D:D,MATCH($A3,league_players!$A:$A,0))</f>
        <v>Richardson</v>
      </c>
      <c r="N3" s="1">
        <v>44944</v>
      </c>
      <c r="O3" s="1">
        <f t="shared" ref="O3:O66" si="0">K3+1</f>
        <v>44946</v>
      </c>
    </row>
    <row r="4" spans="1:15" x14ac:dyDescent="0.2">
      <c r="A4" s="3" t="s">
        <v>312</v>
      </c>
      <c r="B4">
        <v>15.5</v>
      </c>
      <c r="C4">
        <v>-4</v>
      </c>
      <c r="D4">
        <v>69</v>
      </c>
      <c r="E4">
        <v>85</v>
      </c>
      <c r="F4">
        <v>-2</v>
      </c>
      <c r="G4">
        <v>13.5</v>
      </c>
      <c r="H4">
        <v>95</v>
      </c>
      <c r="I4" t="s">
        <v>486</v>
      </c>
      <c r="J4" s="6">
        <v>44927</v>
      </c>
      <c r="K4" s="1">
        <v>44945</v>
      </c>
      <c r="L4" t="str">
        <f>INDEX(league_players!C:C,MATCH($A4,league_players!$A:$A,0))</f>
        <v>Remco</v>
      </c>
      <c r="M4" t="str">
        <f>INDEX(league_players!D:D,MATCH($A4,league_players!$A:$A,0))</f>
        <v>Schenk</v>
      </c>
      <c r="N4" s="1">
        <v>44944</v>
      </c>
      <c r="O4" s="1">
        <f t="shared" si="0"/>
        <v>44946</v>
      </c>
    </row>
    <row r="5" spans="1:15" x14ac:dyDescent="0.2">
      <c r="A5" s="3" t="s">
        <v>77</v>
      </c>
      <c r="B5">
        <v>12.5</v>
      </c>
      <c r="C5">
        <v>2</v>
      </c>
      <c r="D5">
        <v>75</v>
      </c>
      <c r="E5">
        <v>88</v>
      </c>
      <c r="F5">
        <v>1</v>
      </c>
      <c r="G5">
        <v>13.5</v>
      </c>
      <c r="H5">
        <v>15</v>
      </c>
      <c r="I5" t="s">
        <v>486</v>
      </c>
      <c r="J5" s="6">
        <v>44927</v>
      </c>
      <c r="K5" s="1">
        <v>44945</v>
      </c>
      <c r="L5" t="str">
        <f>INDEX(league_players!C:C,MATCH($A5,league_players!$A:$A,0))</f>
        <v>Chris</v>
      </c>
      <c r="M5" t="str">
        <f>INDEX(league_players!D:D,MATCH($A5,league_players!$A:$A,0))</f>
        <v>Dunham</v>
      </c>
      <c r="N5" s="1">
        <v>44944</v>
      </c>
      <c r="O5" s="1">
        <f t="shared" si="0"/>
        <v>44946</v>
      </c>
    </row>
    <row r="6" spans="1:15" x14ac:dyDescent="0.2">
      <c r="A6" s="3" t="s">
        <v>226</v>
      </c>
      <c r="B6">
        <v>19</v>
      </c>
      <c r="C6">
        <v>-4</v>
      </c>
      <c r="D6">
        <v>69</v>
      </c>
      <c r="E6">
        <v>88</v>
      </c>
      <c r="F6">
        <v>-2</v>
      </c>
      <c r="G6">
        <v>17</v>
      </c>
      <c r="H6">
        <v>95</v>
      </c>
      <c r="I6" t="s">
        <v>486</v>
      </c>
      <c r="J6" s="6">
        <v>44927</v>
      </c>
      <c r="K6" s="1">
        <v>44945</v>
      </c>
      <c r="L6" t="str">
        <f>INDEX(league_players!C:C,MATCH($A6,league_players!$A:$A,0))</f>
        <v>Kenneth</v>
      </c>
      <c r="M6" t="str">
        <f>INDEX(league_players!D:D,MATCH($A6,league_players!$A:$A,0))</f>
        <v>Cheung</v>
      </c>
      <c r="N6" s="1">
        <v>44944</v>
      </c>
      <c r="O6" s="1">
        <f t="shared" si="0"/>
        <v>44946</v>
      </c>
    </row>
    <row r="7" spans="1:15" x14ac:dyDescent="0.2">
      <c r="A7" s="3" t="s">
        <v>324</v>
      </c>
      <c r="B7">
        <v>15</v>
      </c>
      <c r="C7">
        <v>0</v>
      </c>
      <c r="D7">
        <v>73</v>
      </c>
      <c r="E7">
        <v>88</v>
      </c>
      <c r="F7">
        <v>0</v>
      </c>
      <c r="G7">
        <v>15</v>
      </c>
      <c r="H7">
        <v>5</v>
      </c>
      <c r="I7" t="s">
        <v>487</v>
      </c>
      <c r="J7" s="6">
        <v>44927</v>
      </c>
      <c r="K7" s="1">
        <v>44945</v>
      </c>
      <c r="L7" t="str">
        <f>INDEX(league_players!C:C,MATCH($A7,league_players!$A:$A,0))</f>
        <v>Robert</v>
      </c>
      <c r="M7" t="str">
        <f>INDEX(league_players!D:D,MATCH($A7,league_players!$A:$A,0))</f>
        <v>Jan Dettmeijer</v>
      </c>
      <c r="N7" s="1">
        <v>44944</v>
      </c>
      <c r="O7" s="1">
        <f t="shared" si="0"/>
        <v>44946</v>
      </c>
    </row>
    <row r="8" spans="1:15" x14ac:dyDescent="0.2">
      <c r="A8" s="3" t="s">
        <v>248</v>
      </c>
      <c r="B8">
        <v>17.5</v>
      </c>
      <c r="C8">
        <v>-2</v>
      </c>
      <c r="D8">
        <v>71</v>
      </c>
      <c r="E8">
        <v>89</v>
      </c>
      <c r="F8">
        <v>-1</v>
      </c>
      <c r="G8">
        <v>16.5</v>
      </c>
      <c r="H8">
        <v>65</v>
      </c>
      <c r="I8" t="s">
        <v>486</v>
      </c>
      <c r="J8" s="6">
        <v>44927</v>
      </c>
      <c r="K8" s="1">
        <v>44945</v>
      </c>
      <c r="L8" t="str">
        <f>INDEX(league_players!C:C,MATCH($A8,league_players!$A:$A,0))</f>
        <v>Marc</v>
      </c>
      <c r="M8" t="str">
        <f>INDEX(league_players!D:D,MATCH($A8,league_players!$A:$A,0))</f>
        <v>Westgate</v>
      </c>
      <c r="N8" s="1">
        <v>44944</v>
      </c>
      <c r="O8" s="1">
        <f t="shared" si="0"/>
        <v>44946</v>
      </c>
    </row>
    <row r="9" spans="1:15" x14ac:dyDescent="0.2">
      <c r="A9" s="3" t="s">
        <v>318</v>
      </c>
      <c r="B9">
        <v>21.5</v>
      </c>
      <c r="C9">
        <v>-3</v>
      </c>
      <c r="D9">
        <v>70</v>
      </c>
      <c r="E9">
        <v>92</v>
      </c>
      <c r="F9">
        <v>-1.5</v>
      </c>
      <c r="G9">
        <v>20</v>
      </c>
      <c r="H9">
        <v>80</v>
      </c>
      <c r="I9" t="s">
        <v>486</v>
      </c>
      <c r="J9" s="6">
        <v>44927</v>
      </c>
      <c r="K9" s="1">
        <v>44945</v>
      </c>
      <c r="L9" t="str">
        <f>INDEX(league_players!C:C,MATCH($A9,league_players!$A:$A,0))</f>
        <v>Richard</v>
      </c>
      <c r="M9" t="str">
        <f>INDEX(league_players!D:D,MATCH($A9,league_players!$A:$A,0))</f>
        <v>Cogswell</v>
      </c>
      <c r="N9" s="1">
        <v>44944</v>
      </c>
      <c r="O9" s="1">
        <f t="shared" si="0"/>
        <v>44946</v>
      </c>
    </row>
    <row r="10" spans="1:15" x14ac:dyDescent="0.2">
      <c r="A10" s="3" t="s">
        <v>209</v>
      </c>
      <c r="B10">
        <v>13.5</v>
      </c>
      <c r="C10">
        <v>6</v>
      </c>
      <c r="D10">
        <v>79</v>
      </c>
      <c r="E10">
        <v>93</v>
      </c>
      <c r="F10">
        <v>1</v>
      </c>
      <c r="G10">
        <v>14.5</v>
      </c>
      <c r="H10">
        <v>5</v>
      </c>
      <c r="I10" t="s">
        <v>486</v>
      </c>
      <c r="J10" s="6">
        <v>44927</v>
      </c>
      <c r="K10" s="1">
        <v>44945</v>
      </c>
      <c r="L10" t="str">
        <f>INDEX(league_players!C:C,MATCH($A10,league_players!$A:$A,0))</f>
        <v>Julien</v>
      </c>
      <c r="M10" t="str">
        <f>INDEX(league_players!D:D,MATCH($A10,league_players!$A:$A,0))</f>
        <v>Blain</v>
      </c>
      <c r="N10" s="1">
        <v>44944</v>
      </c>
      <c r="O10" s="1">
        <f t="shared" si="0"/>
        <v>44946</v>
      </c>
    </row>
    <row r="11" spans="1:15" x14ac:dyDescent="0.2">
      <c r="A11" s="3" t="s">
        <v>274</v>
      </c>
      <c r="B11">
        <v>18.5</v>
      </c>
      <c r="C11">
        <v>2</v>
      </c>
      <c r="D11">
        <v>75</v>
      </c>
      <c r="E11">
        <v>94</v>
      </c>
      <c r="F11">
        <v>1</v>
      </c>
      <c r="G11">
        <v>19.5</v>
      </c>
      <c r="H11">
        <v>15</v>
      </c>
      <c r="I11" t="s">
        <v>486</v>
      </c>
      <c r="J11" s="6">
        <v>44927</v>
      </c>
      <c r="K11" s="1">
        <v>44945</v>
      </c>
      <c r="L11" t="str">
        <f>INDEX(league_players!C:C,MATCH($A11,league_players!$A:$A,0))</f>
        <v>Nic</v>
      </c>
      <c r="M11" t="str">
        <f>INDEX(league_players!D:D,MATCH($A11,league_players!$A:$A,0))</f>
        <v>Kopitsis</v>
      </c>
      <c r="N11" s="1">
        <v>44944</v>
      </c>
      <c r="O11" s="1">
        <f t="shared" si="0"/>
        <v>44946</v>
      </c>
    </row>
    <row r="12" spans="1:15" x14ac:dyDescent="0.2">
      <c r="A12" s="3" t="s">
        <v>367</v>
      </c>
      <c r="B12">
        <v>24</v>
      </c>
      <c r="C12">
        <v>-2</v>
      </c>
      <c r="D12">
        <v>71</v>
      </c>
      <c r="E12">
        <v>95</v>
      </c>
      <c r="F12">
        <v>-1</v>
      </c>
      <c r="G12">
        <v>23</v>
      </c>
      <c r="H12">
        <v>65</v>
      </c>
      <c r="I12" t="s">
        <v>486</v>
      </c>
      <c r="J12" s="6">
        <v>44927</v>
      </c>
      <c r="K12" s="1">
        <v>44945</v>
      </c>
      <c r="L12" t="str">
        <f>INDEX(league_players!C:C,MATCH($A12,league_players!$A:$A,0))</f>
        <v>Steve</v>
      </c>
      <c r="M12" t="str">
        <f>INDEX(league_players!D:D,MATCH($A12,league_players!$A:$A,0))</f>
        <v>McCole</v>
      </c>
      <c r="N12" s="1">
        <v>44944</v>
      </c>
      <c r="O12" s="1">
        <f t="shared" si="0"/>
        <v>44946</v>
      </c>
    </row>
    <row r="13" spans="1:15" x14ac:dyDescent="0.2">
      <c r="A13" s="3" t="s">
        <v>38</v>
      </c>
      <c r="B13">
        <v>23.5</v>
      </c>
      <c r="C13">
        <v>0</v>
      </c>
      <c r="D13">
        <v>73</v>
      </c>
      <c r="E13">
        <v>97</v>
      </c>
      <c r="F13">
        <v>0</v>
      </c>
      <c r="G13">
        <v>23.5</v>
      </c>
      <c r="H13">
        <v>35</v>
      </c>
      <c r="I13" t="s">
        <v>486</v>
      </c>
      <c r="J13" s="6">
        <v>44927</v>
      </c>
      <c r="K13" s="1">
        <v>44945</v>
      </c>
      <c r="L13" t="str">
        <f>INDEX(league_players!C:C,MATCH($A13,league_players!$A:$A,0))</f>
        <v>Andrea</v>
      </c>
      <c r="M13" t="str">
        <f>INDEX(league_players!D:D,MATCH($A13,league_players!$A:$A,0))</f>
        <v>Sbalchiero</v>
      </c>
      <c r="N13" s="1">
        <v>44944</v>
      </c>
      <c r="O13" s="1">
        <f t="shared" si="0"/>
        <v>44946</v>
      </c>
    </row>
    <row r="14" spans="1:15" x14ac:dyDescent="0.2">
      <c r="A14" s="3" t="s">
        <v>460</v>
      </c>
      <c r="B14">
        <v>25</v>
      </c>
      <c r="C14">
        <v>6</v>
      </c>
      <c r="D14">
        <v>79</v>
      </c>
      <c r="E14">
        <v>104</v>
      </c>
      <c r="F14">
        <v>0</v>
      </c>
      <c r="G14">
        <v>25</v>
      </c>
      <c r="H14">
        <v>5</v>
      </c>
      <c r="I14" t="s">
        <v>486</v>
      </c>
      <c r="J14" s="6">
        <v>44927</v>
      </c>
      <c r="K14" s="1">
        <v>44945</v>
      </c>
      <c r="L14" t="str">
        <f>INDEX(league_players!C:C,MATCH($A14,league_players!$A:$A,0))</f>
        <v>Simon</v>
      </c>
      <c r="M14" t="str">
        <f>INDEX(league_players!D:D,MATCH($A14,league_players!$A:$A,0))</f>
        <v>Van Dijk</v>
      </c>
      <c r="N14" s="1">
        <v>44944</v>
      </c>
      <c r="O14" s="1">
        <f t="shared" si="0"/>
        <v>44946</v>
      </c>
    </row>
    <row r="15" spans="1:15" x14ac:dyDescent="0.2">
      <c r="A15" s="3" t="s">
        <v>228</v>
      </c>
      <c r="B15">
        <v>25</v>
      </c>
      <c r="C15">
        <v>14</v>
      </c>
      <c r="D15">
        <v>87</v>
      </c>
      <c r="E15">
        <v>112</v>
      </c>
      <c r="F15">
        <v>0</v>
      </c>
      <c r="G15">
        <v>25</v>
      </c>
      <c r="H15">
        <v>5</v>
      </c>
      <c r="I15" t="s">
        <v>486</v>
      </c>
      <c r="J15" s="6">
        <v>44927</v>
      </c>
      <c r="K15" s="1">
        <v>44945</v>
      </c>
      <c r="L15" t="str">
        <f>INDEX(league_players!C:C,MATCH($A15,league_players!$A:$A,0))</f>
        <v>Kevin</v>
      </c>
      <c r="M15" t="str">
        <f>INDEX(league_players!D:D,MATCH($A15,league_players!$A:$A,0))</f>
        <v>Foy</v>
      </c>
      <c r="N15" s="1">
        <v>44944</v>
      </c>
      <c r="O15" s="1">
        <f t="shared" si="0"/>
        <v>44946</v>
      </c>
    </row>
    <row r="16" spans="1:15" x14ac:dyDescent="0.2">
      <c r="A16" s="3" t="s">
        <v>190</v>
      </c>
      <c r="B16">
        <v>25</v>
      </c>
      <c r="C16">
        <v>16</v>
      </c>
      <c r="D16">
        <v>89</v>
      </c>
      <c r="E16">
        <v>114</v>
      </c>
      <c r="F16">
        <v>0</v>
      </c>
      <c r="G16">
        <v>25</v>
      </c>
      <c r="H16">
        <v>5</v>
      </c>
      <c r="I16" t="s">
        <v>486</v>
      </c>
      <c r="J16" s="6">
        <v>44927</v>
      </c>
      <c r="K16" s="1">
        <v>44945</v>
      </c>
      <c r="L16" t="str">
        <f>INDEX(league_players!C:C,MATCH($A16,league_players!$A:$A,0))</f>
        <v>Jeff</v>
      </c>
      <c r="M16" t="str">
        <f>INDEX(league_players!D:D,MATCH($A16,league_players!$A:$A,0))</f>
        <v>Plein</v>
      </c>
      <c r="N16" s="1">
        <v>44944</v>
      </c>
      <c r="O16" s="1">
        <f t="shared" si="0"/>
        <v>44946</v>
      </c>
    </row>
    <row r="17" spans="1:15" x14ac:dyDescent="0.2">
      <c r="A17" t="s">
        <v>195</v>
      </c>
      <c r="B17" s="7">
        <v>0</v>
      </c>
      <c r="C17">
        <v>4</v>
      </c>
      <c r="D17">
        <v>76</v>
      </c>
      <c r="E17" s="8">
        <v>76</v>
      </c>
      <c r="F17">
        <v>1</v>
      </c>
      <c r="G17" s="7">
        <v>1</v>
      </c>
      <c r="H17">
        <v>5</v>
      </c>
      <c r="I17" t="s">
        <v>486</v>
      </c>
      <c r="J17" s="6">
        <v>44958</v>
      </c>
      <c r="K17" s="1">
        <v>44980</v>
      </c>
      <c r="L17" t="str">
        <f>INDEX(league_players!C:C,MATCH($A17,league_players!$A:$A,0))</f>
        <v>John</v>
      </c>
      <c r="M17" t="str">
        <f>INDEX(league_players!D:D,MATCH($A17,league_players!$A:$A,0))</f>
        <v>Heming</v>
      </c>
      <c r="N17" s="1">
        <v>44979</v>
      </c>
      <c r="O17" s="1">
        <f t="shared" si="0"/>
        <v>44981</v>
      </c>
    </row>
    <row r="18" spans="1:15" x14ac:dyDescent="0.2">
      <c r="A18" t="s">
        <v>322</v>
      </c>
      <c r="B18" s="7">
        <v>4.5</v>
      </c>
      <c r="C18">
        <v>1</v>
      </c>
      <c r="D18">
        <v>73</v>
      </c>
      <c r="E18" s="8">
        <v>78</v>
      </c>
      <c r="F18">
        <v>1</v>
      </c>
      <c r="G18" s="7">
        <v>5.5</v>
      </c>
      <c r="H18">
        <v>15</v>
      </c>
      <c r="I18" t="s">
        <v>486</v>
      </c>
      <c r="J18" s="6">
        <v>44958</v>
      </c>
      <c r="K18" s="1">
        <v>44980</v>
      </c>
      <c r="L18" t="str">
        <f>INDEX(league_players!C:C,MATCH($A18,league_players!$A:$A,0))</f>
        <v>Rob</v>
      </c>
      <c r="M18" t="str">
        <f>INDEX(league_players!D:D,MATCH($A18,league_players!$A:$A,0))</f>
        <v>Springett</v>
      </c>
      <c r="N18" s="1">
        <v>44979</v>
      </c>
      <c r="O18" s="1">
        <f t="shared" si="0"/>
        <v>44981</v>
      </c>
    </row>
    <row r="19" spans="1:15" x14ac:dyDescent="0.2">
      <c r="A19" t="s">
        <v>384</v>
      </c>
      <c r="B19" s="7">
        <v>0</v>
      </c>
      <c r="C19">
        <v>7</v>
      </c>
      <c r="D19">
        <v>79</v>
      </c>
      <c r="E19" s="8">
        <v>79</v>
      </c>
      <c r="F19">
        <v>1</v>
      </c>
      <c r="G19" s="7">
        <v>1</v>
      </c>
      <c r="H19">
        <v>5</v>
      </c>
      <c r="I19" t="s">
        <v>486</v>
      </c>
      <c r="J19" s="6">
        <v>44958</v>
      </c>
      <c r="K19" s="1">
        <v>44980</v>
      </c>
      <c r="L19" t="str">
        <f>INDEX(league_players!C:C,MATCH($A19,league_players!$A:$A,0))</f>
        <v>Tom</v>
      </c>
      <c r="M19" t="str">
        <f>INDEX(league_players!D:D,MATCH($A19,league_players!$A:$A,0))</f>
        <v>Gooding</v>
      </c>
      <c r="N19" s="1">
        <v>44979</v>
      </c>
      <c r="O19" s="1">
        <f t="shared" si="0"/>
        <v>44981</v>
      </c>
    </row>
    <row r="20" spans="1:15" x14ac:dyDescent="0.2">
      <c r="A20" t="s">
        <v>207</v>
      </c>
      <c r="B20" s="7">
        <v>11.5</v>
      </c>
      <c r="C20">
        <v>-1</v>
      </c>
      <c r="D20">
        <v>71</v>
      </c>
      <c r="E20" s="8">
        <v>83</v>
      </c>
      <c r="F20">
        <v>-0.5</v>
      </c>
      <c r="G20" s="7">
        <v>11</v>
      </c>
      <c r="H20">
        <v>70</v>
      </c>
      <c r="I20" t="s">
        <v>486</v>
      </c>
      <c r="J20" s="6">
        <v>44958</v>
      </c>
      <c r="K20" s="1">
        <v>44980</v>
      </c>
      <c r="L20" t="str">
        <f>INDEX(league_players!C:C,MATCH($A20,league_players!$A:$A,0))</f>
        <v>Jonty</v>
      </c>
      <c r="M20" t="str">
        <f>INDEX(league_players!D:D,MATCH($A20,league_players!$A:$A,0))</f>
        <v>Richardson</v>
      </c>
      <c r="N20" s="1">
        <v>44979</v>
      </c>
      <c r="O20" s="1">
        <f t="shared" si="0"/>
        <v>44981</v>
      </c>
    </row>
    <row r="21" spans="1:15" x14ac:dyDescent="0.2">
      <c r="A21" t="s">
        <v>248</v>
      </c>
      <c r="B21" s="7">
        <v>16.5</v>
      </c>
      <c r="C21">
        <v>-5</v>
      </c>
      <c r="D21">
        <v>67</v>
      </c>
      <c r="E21" s="8">
        <v>84</v>
      </c>
      <c r="F21">
        <v>-2.5</v>
      </c>
      <c r="G21" s="7">
        <v>14</v>
      </c>
      <c r="H21">
        <v>100</v>
      </c>
      <c r="I21" t="s">
        <v>486</v>
      </c>
      <c r="J21" s="6">
        <v>44958</v>
      </c>
      <c r="K21" s="1">
        <v>44980</v>
      </c>
      <c r="L21" t="str">
        <f>INDEX(league_players!C:C,MATCH($A21,league_players!$A:$A,0))</f>
        <v>Marc</v>
      </c>
      <c r="M21" t="str">
        <f>INDEX(league_players!D:D,MATCH($A21,league_players!$A:$A,0))</f>
        <v>Westgate</v>
      </c>
      <c r="N21" s="1">
        <v>44979</v>
      </c>
      <c r="O21" s="1">
        <f t="shared" si="0"/>
        <v>44981</v>
      </c>
    </row>
    <row r="22" spans="1:15" x14ac:dyDescent="0.2">
      <c r="A22" t="s">
        <v>250</v>
      </c>
      <c r="B22" s="7">
        <v>12.5</v>
      </c>
      <c r="C22">
        <v>-1</v>
      </c>
      <c r="D22">
        <v>71</v>
      </c>
      <c r="E22" s="8">
        <v>84</v>
      </c>
      <c r="F22">
        <v>-0.5</v>
      </c>
      <c r="G22" s="7">
        <v>12</v>
      </c>
      <c r="H22">
        <v>70</v>
      </c>
      <c r="I22" t="s">
        <v>486</v>
      </c>
      <c r="J22" s="6">
        <v>44958</v>
      </c>
      <c r="K22" s="1">
        <v>44980</v>
      </c>
      <c r="L22" t="str">
        <f>INDEX(league_players!C:C,MATCH($A22,league_players!$A:$A,0))</f>
        <v>Marco</v>
      </c>
      <c r="M22" t="str">
        <f>INDEX(league_players!D:D,MATCH($A22,league_players!$A:$A,0))</f>
        <v>Attilio</v>
      </c>
      <c r="N22" s="1">
        <v>44979</v>
      </c>
      <c r="O22" s="1">
        <f t="shared" si="0"/>
        <v>44981</v>
      </c>
    </row>
    <row r="23" spans="1:15" x14ac:dyDescent="0.2">
      <c r="A23" t="s">
        <v>128</v>
      </c>
      <c r="B23" s="7">
        <v>13</v>
      </c>
      <c r="C23">
        <v>0</v>
      </c>
      <c r="D23">
        <v>72</v>
      </c>
      <c r="E23" s="8">
        <v>85</v>
      </c>
      <c r="F23">
        <v>0</v>
      </c>
      <c r="G23" s="7">
        <v>13</v>
      </c>
      <c r="H23">
        <v>40</v>
      </c>
      <c r="I23" t="s">
        <v>486</v>
      </c>
      <c r="J23" s="6">
        <v>44958</v>
      </c>
      <c r="K23" s="1">
        <v>44980</v>
      </c>
      <c r="L23" t="str">
        <f>INDEX(league_players!C:C,MATCH($A23,league_players!$A:$A,0))</f>
        <v>Florian</v>
      </c>
      <c r="M23" t="str">
        <f>INDEX(league_players!D:D,MATCH($A23,league_players!$A:$A,0))</f>
        <v>Dumas</v>
      </c>
      <c r="N23" s="1">
        <v>44979</v>
      </c>
      <c r="O23" s="1">
        <f t="shared" si="0"/>
        <v>44981</v>
      </c>
    </row>
    <row r="24" spans="1:15" x14ac:dyDescent="0.2">
      <c r="A24" t="s">
        <v>157</v>
      </c>
      <c r="B24" s="7">
        <v>10.5</v>
      </c>
      <c r="C24">
        <v>2</v>
      </c>
      <c r="D24">
        <v>74</v>
      </c>
      <c r="E24" s="8">
        <v>85</v>
      </c>
      <c r="F24">
        <v>1</v>
      </c>
      <c r="G24" s="7">
        <v>11.5</v>
      </c>
      <c r="H24">
        <v>5</v>
      </c>
      <c r="I24" t="s">
        <v>486</v>
      </c>
      <c r="J24" s="6">
        <v>44958</v>
      </c>
      <c r="K24" s="1">
        <v>44980</v>
      </c>
      <c r="L24" t="str">
        <f>INDEX(league_players!C:C,MATCH($A24,league_players!$A:$A,0))</f>
        <v>Guillaume</v>
      </c>
      <c r="M24" t="str">
        <f>INDEX(league_players!D:D,MATCH($A24,league_players!$A:$A,0))</f>
        <v>Augustin</v>
      </c>
      <c r="N24" s="1">
        <v>44979</v>
      </c>
      <c r="O24" s="1">
        <f t="shared" si="0"/>
        <v>44981</v>
      </c>
    </row>
    <row r="25" spans="1:15" x14ac:dyDescent="0.2">
      <c r="A25" t="s">
        <v>312</v>
      </c>
      <c r="B25" s="7">
        <v>13.5</v>
      </c>
      <c r="C25">
        <v>1</v>
      </c>
      <c r="D25">
        <v>73</v>
      </c>
      <c r="E25" s="8">
        <v>87</v>
      </c>
      <c r="F25">
        <v>1</v>
      </c>
      <c r="G25" s="7">
        <v>14.5</v>
      </c>
      <c r="H25">
        <v>15</v>
      </c>
      <c r="I25" t="s">
        <v>486</v>
      </c>
      <c r="J25" s="6">
        <v>44958</v>
      </c>
      <c r="K25" s="1">
        <v>44980</v>
      </c>
      <c r="L25" t="str">
        <f>INDEX(league_players!C:C,MATCH($A25,league_players!$A:$A,0))</f>
        <v>Remco</v>
      </c>
      <c r="M25" t="str">
        <f>INDEX(league_players!D:D,MATCH($A25,league_players!$A:$A,0))</f>
        <v>Schenk</v>
      </c>
      <c r="N25" s="1">
        <v>44979</v>
      </c>
      <c r="O25" s="1">
        <f t="shared" si="0"/>
        <v>44981</v>
      </c>
    </row>
    <row r="26" spans="1:15" x14ac:dyDescent="0.2">
      <c r="A26" t="s">
        <v>252</v>
      </c>
      <c r="B26" s="7">
        <v>22</v>
      </c>
      <c r="C26">
        <v>-4</v>
      </c>
      <c r="D26">
        <v>68</v>
      </c>
      <c r="E26" s="8">
        <v>90</v>
      </c>
      <c r="F26">
        <v>-2</v>
      </c>
      <c r="G26" s="7">
        <v>20</v>
      </c>
      <c r="H26">
        <v>90</v>
      </c>
      <c r="I26" t="s">
        <v>486</v>
      </c>
      <c r="J26" s="6">
        <v>44958</v>
      </c>
      <c r="K26" s="1">
        <v>44980</v>
      </c>
      <c r="L26" t="str">
        <f>INDEX(league_players!C:C,MATCH($A26,league_players!$A:$A,0))</f>
        <v>Martin</v>
      </c>
      <c r="M26" t="str">
        <f>INDEX(league_players!D:D,MATCH($A26,league_players!$A:$A,0))</f>
        <v>Hrastic</v>
      </c>
      <c r="N26" s="1">
        <v>44979</v>
      </c>
      <c r="O26" s="1">
        <f t="shared" si="0"/>
        <v>44981</v>
      </c>
    </row>
    <row r="27" spans="1:15" x14ac:dyDescent="0.2">
      <c r="A27" t="s">
        <v>36</v>
      </c>
      <c r="B27" s="7">
        <v>19.5</v>
      </c>
      <c r="C27">
        <v>0</v>
      </c>
      <c r="D27">
        <v>72</v>
      </c>
      <c r="E27" s="8">
        <v>92</v>
      </c>
      <c r="F27">
        <v>0</v>
      </c>
      <c r="G27" s="7">
        <v>19.5</v>
      </c>
      <c r="H27">
        <v>40</v>
      </c>
      <c r="I27" t="s">
        <v>486</v>
      </c>
      <c r="J27" s="6">
        <v>44958</v>
      </c>
      <c r="K27" s="1">
        <v>44980</v>
      </c>
      <c r="L27" t="str">
        <f>INDEX(league_players!C:C,MATCH($A27,league_players!$A:$A,0))</f>
        <v>Andre</v>
      </c>
      <c r="M27" t="str">
        <f>INDEX(league_players!D:D,MATCH($A27,league_players!$A:$A,0))</f>
        <v>Gruber</v>
      </c>
      <c r="N27" s="1">
        <v>44979</v>
      </c>
      <c r="O27" s="1">
        <f t="shared" si="0"/>
        <v>44981</v>
      </c>
    </row>
    <row r="28" spans="1:15" x14ac:dyDescent="0.2">
      <c r="A28" t="s">
        <v>96</v>
      </c>
      <c r="B28" s="7">
        <v>21</v>
      </c>
      <c r="C28">
        <v>0</v>
      </c>
      <c r="D28">
        <v>72</v>
      </c>
      <c r="E28" s="8">
        <v>93</v>
      </c>
      <c r="F28">
        <v>0</v>
      </c>
      <c r="G28" s="7">
        <v>21</v>
      </c>
      <c r="H28">
        <v>40</v>
      </c>
      <c r="I28" t="s">
        <v>486</v>
      </c>
      <c r="J28" s="6">
        <v>44958</v>
      </c>
      <c r="K28" s="1">
        <v>44980</v>
      </c>
      <c r="L28" t="str">
        <f>INDEX(league_players!C:C,MATCH($A28,league_players!$A:$A,0))</f>
        <v>Daniel</v>
      </c>
      <c r="M28" t="str">
        <f>INDEX(league_players!D:D,MATCH($A28,league_players!$A:$A,0))</f>
        <v>Lawrence</v>
      </c>
      <c r="N28" s="1">
        <v>44979</v>
      </c>
      <c r="O28" s="1">
        <f t="shared" si="0"/>
        <v>44981</v>
      </c>
    </row>
    <row r="29" spans="1:15" x14ac:dyDescent="0.2">
      <c r="A29" t="s">
        <v>81</v>
      </c>
      <c r="B29" s="7">
        <v>18</v>
      </c>
      <c r="C29">
        <v>4</v>
      </c>
      <c r="D29">
        <v>76</v>
      </c>
      <c r="E29" s="8">
        <v>94</v>
      </c>
      <c r="F29">
        <v>1</v>
      </c>
      <c r="G29" s="7">
        <v>19</v>
      </c>
      <c r="H29">
        <v>5</v>
      </c>
      <c r="I29" t="s">
        <v>486</v>
      </c>
      <c r="J29" s="6">
        <v>44958</v>
      </c>
      <c r="K29" s="1">
        <v>44980</v>
      </c>
      <c r="L29" t="str">
        <f>INDEX(league_players!C:C,MATCH($A29,league_players!$A:$A,0))</f>
        <v>Chris</v>
      </c>
      <c r="M29" t="str">
        <f>INDEX(league_players!D:D,MATCH($A29,league_players!$A:$A,0))</f>
        <v>Johnson</v>
      </c>
      <c r="N29" s="1">
        <v>44979</v>
      </c>
      <c r="O29" s="1">
        <f t="shared" si="0"/>
        <v>44981</v>
      </c>
    </row>
    <row r="30" spans="1:15" x14ac:dyDescent="0.2">
      <c r="A30" s="3" t="s">
        <v>274</v>
      </c>
      <c r="B30" s="7">
        <v>15.5</v>
      </c>
      <c r="C30">
        <v>6</v>
      </c>
      <c r="D30">
        <v>78</v>
      </c>
      <c r="E30" s="8">
        <v>94</v>
      </c>
      <c r="F30">
        <v>1</v>
      </c>
      <c r="G30" s="7">
        <v>16.5</v>
      </c>
      <c r="H30">
        <v>5</v>
      </c>
      <c r="I30" t="s">
        <v>486</v>
      </c>
      <c r="J30" s="6">
        <v>44958</v>
      </c>
      <c r="K30" s="1">
        <v>44980</v>
      </c>
      <c r="L30" t="str">
        <f>INDEX(league_players!C:C,MATCH($A30,league_players!$A:$A,0))</f>
        <v>Nic</v>
      </c>
      <c r="M30" t="str">
        <f>INDEX(league_players!D:D,MATCH($A30,league_players!$A:$A,0))</f>
        <v>Kopitsis</v>
      </c>
      <c r="N30" s="1">
        <v>44979</v>
      </c>
      <c r="O30" s="1">
        <f t="shared" si="0"/>
        <v>44981</v>
      </c>
    </row>
    <row r="31" spans="1:15" x14ac:dyDescent="0.2">
      <c r="A31" t="s">
        <v>38</v>
      </c>
      <c r="B31" s="7">
        <v>23.5</v>
      </c>
      <c r="C31">
        <v>-1</v>
      </c>
      <c r="D31">
        <v>71</v>
      </c>
      <c r="E31" s="8">
        <v>95</v>
      </c>
      <c r="F31">
        <v>-0.5</v>
      </c>
      <c r="G31" s="7">
        <v>23</v>
      </c>
      <c r="H31">
        <v>70</v>
      </c>
      <c r="I31" t="s">
        <v>486</v>
      </c>
      <c r="J31" s="6">
        <v>44958</v>
      </c>
      <c r="K31" s="1">
        <v>44980</v>
      </c>
      <c r="L31" t="str">
        <f>INDEX(league_players!C:C,MATCH($A31,league_players!$A:$A,0))</f>
        <v>Andrea</v>
      </c>
      <c r="M31" t="str">
        <f>INDEX(league_players!D:D,MATCH($A31,league_players!$A:$A,0))</f>
        <v>Sbalchiero</v>
      </c>
      <c r="N31" s="1">
        <v>44979</v>
      </c>
      <c r="O31" s="1">
        <f t="shared" si="0"/>
        <v>44981</v>
      </c>
    </row>
    <row r="32" spans="1:15" x14ac:dyDescent="0.2">
      <c r="A32" t="s">
        <v>318</v>
      </c>
      <c r="B32" s="7">
        <v>20</v>
      </c>
      <c r="C32">
        <v>7</v>
      </c>
      <c r="D32">
        <v>79</v>
      </c>
      <c r="E32" s="8">
        <v>99</v>
      </c>
      <c r="F32">
        <v>1</v>
      </c>
      <c r="G32" s="7">
        <v>21</v>
      </c>
      <c r="H32">
        <v>5</v>
      </c>
      <c r="I32" t="s">
        <v>486</v>
      </c>
      <c r="J32" s="6">
        <v>44958</v>
      </c>
      <c r="K32" s="1">
        <v>44980</v>
      </c>
      <c r="L32" t="str">
        <f>INDEX(league_players!C:C,MATCH($A32,league_players!$A:$A,0))</f>
        <v>Richard</v>
      </c>
      <c r="M32" t="str">
        <f>INDEX(league_players!D:D,MATCH($A32,league_players!$A:$A,0))</f>
        <v>Cogswell</v>
      </c>
      <c r="N32" s="1">
        <v>44979</v>
      </c>
      <c r="O32" s="1">
        <f t="shared" si="0"/>
        <v>44981</v>
      </c>
    </row>
    <row r="33" spans="1:15" x14ac:dyDescent="0.2">
      <c r="A33" t="s">
        <v>116</v>
      </c>
      <c r="B33" s="7">
        <v>22</v>
      </c>
      <c r="C33">
        <v>10</v>
      </c>
      <c r="D33">
        <v>82</v>
      </c>
      <c r="E33" s="8">
        <v>104</v>
      </c>
      <c r="F33">
        <v>1</v>
      </c>
      <c r="G33" s="7">
        <v>23</v>
      </c>
      <c r="H33">
        <v>5</v>
      </c>
      <c r="I33" t="s">
        <v>486</v>
      </c>
      <c r="J33" s="6">
        <v>44958</v>
      </c>
      <c r="K33" s="1">
        <v>44980</v>
      </c>
      <c r="L33" t="str">
        <f>INDEX(league_players!C:C,MATCH($A33,league_players!$A:$A,0))</f>
        <v>Donough</v>
      </c>
      <c r="M33" t="str">
        <f>INDEX(league_players!D:D,MATCH($A33,league_players!$A:$A,0))</f>
        <v>Murphy</v>
      </c>
      <c r="N33" s="1">
        <v>44979</v>
      </c>
      <c r="O33" s="1">
        <f t="shared" si="0"/>
        <v>44981</v>
      </c>
    </row>
    <row r="34" spans="1:15" x14ac:dyDescent="0.2">
      <c r="A34" t="s">
        <v>286</v>
      </c>
      <c r="B34" s="7">
        <v>25</v>
      </c>
      <c r="C34">
        <v>7</v>
      </c>
      <c r="D34">
        <v>79</v>
      </c>
      <c r="E34" s="8">
        <v>104</v>
      </c>
      <c r="F34">
        <v>0</v>
      </c>
      <c r="G34" s="7">
        <v>25</v>
      </c>
      <c r="H34">
        <v>5</v>
      </c>
      <c r="I34" t="s">
        <v>486</v>
      </c>
      <c r="J34" s="6">
        <v>44958</v>
      </c>
      <c r="K34" s="1">
        <v>44980</v>
      </c>
      <c r="L34" t="str">
        <f>INDEX(league_players!C:C,MATCH($A34,league_players!$A:$A,0))</f>
        <v>Patrice</v>
      </c>
      <c r="M34" t="str">
        <f>INDEX(league_players!D:D,MATCH($A34,league_players!$A:$A,0))</f>
        <v>Magret Delord</v>
      </c>
      <c r="N34" s="1">
        <v>44979</v>
      </c>
      <c r="O34" s="1">
        <f t="shared" si="0"/>
        <v>44981</v>
      </c>
    </row>
    <row r="35" spans="1:15" x14ac:dyDescent="0.2">
      <c r="A35" t="s">
        <v>310</v>
      </c>
      <c r="B35" s="7">
        <v>25</v>
      </c>
      <c r="C35">
        <v>13</v>
      </c>
      <c r="D35">
        <v>85</v>
      </c>
      <c r="E35" s="8">
        <v>110</v>
      </c>
      <c r="F35">
        <v>0</v>
      </c>
      <c r="G35" s="7">
        <v>25</v>
      </c>
      <c r="H35">
        <v>5</v>
      </c>
      <c r="I35" t="s">
        <v>486</v>
      </c>
      <c r="J35" s="6">
        <v>44958</v>
      </c>
      <c r="K35" s="1">
        <v>44980</v>
      </c>
      <c r="L35" t="str">
        <f>INDEX(league_players!C:C,MATCH($A35,league_players!$A:$A,0))</f>
        <v>Rana</v>
      </c>
      <c r="M35" t="str">
        <f>INDEX(league_players!D:D,MATCH($A35,league_players!$A:$A,0))</f>
        <v>Datta</v>
      </c>
      <c r="N35" s="1">
        <v>44979</v>
      </c>
      <c r="O35" s="1">
        <f t="shared" si="0"/>
        <v>44981</v>
      </c>
    </row>
    <row r="36" spans="1:15" x14ac:dyDescent="0.2">
      <c r="A36" t="s">
        <v>102</v>
      </c>
      <c r="B36" s="7">
        <v>22</v>
      </c>
      <c r="C36">
        <v>17</v>
      </c>
      <c r="D36">
        <v>89</v>
      </c>
      <c r="E36" s="8">
        <v>111</v>
      </c>
      <c r="F36">
        <v>1</v>
      </c>
      <c r="G36" s="7">
        <v>23</v>
      </c>
      <c r="H36">
        <v>5</v>
      </c>
      <c r="I36" t="s">
        <v>486</v>
      </c>
      <c r="J36" s="6">
        <v>44958</v>
      </c>
      <c r="K36" s="1">
        <v>44980</v>
      </c>
      <c r="L36" t="str">
        <f>INDEX(league_players!C:C,MATCH($A36,league_players!$A:$A,0))</f>
        <v>Darren</v>
      </c>
      <c r="M36" t="str">
        <f>INDEX(league_players!D:D,MATCH($A36,league_players!$A:$A,0))</f>
        <v>Measures</v>
      </c>
      <c r="N36" s="1">
        <v>44979</v>
      </c>
      <c r="O36" s="1">
        <f t="shared" si="0"/>
        <v>44981</v>
      </c>
    </row>
    <row r="37" spans="1:15" x14ac:dyDescent="0.2">
      <c r="A37" t="s">
        <v>30</v>
      </c>
      <c r="B37" s="7">
        <v>25</v>
      </c>
      <c r="C37">
        <v>33</v>
      </c>
      <c r="D37">
        <v>105</v>
      </c>
      <c r="E37" s="8">
        <v>130</v>
      </c>
      <c r="F37">
        <v>0</v>
      </c>
      <c r="G37" s="7">
        <v>25</v>
      </c>
      <c r="H37">
        <v>5</v>
      </c>
      <c r="I37" t="s">
        <v>486</v>
      </c>
      <c r="J37" s="6">
        <v>44958</v>
      </c>
      <c r="K37" s="1">
        <v>44980</v>
      </c>
      <c r="L37" t="str">
        <f>INDEX(league_players!C:C,MATCH($A37,league_players!$A:$A,0))</f>
        <v>Alexander</v>
      </c>
      <c r="M37" t="str">
        <f>INDEX(league_players!D:D,MATCH($A37,league_players!$A:$A,0))</f>
        <v>Loh</v>
      </c>
      <c r="N37" s="1">
        <v>44979</v>
      </c>
      <c r="O37" s="1">
        <f t="shared" si="0"/>
        <v>44981</v>
      </c>
    </row>
    <row r="38" spans="1:15" x14ac:dyDescent="0.2">
      <c r="A38" t="s">
        <v>312</v>
      </c>
      <c r="B38">
        <v>14.5</v>
      </c>
      <c r="C38">
        <v>1</v>
      </c>
      <c r="D38">
        <v>73</v>
      </c>
      <c r="E38">
        <v>88</v>
      </c>
      <c r="F38">
        <v>1</v>
      </c>
      <c r="G38">
        <v>15.5</v>
      </c>
      <c r="H38">
        <v>85</v>
      </c>
      <c r="I38" t="s">
        <v>486</v>
      </c>
      <c r="J38" s="6">
        <v>44986</v>
      </c>
      <c r="K38" s="1">
        <v>45001</v>
      </c>
      <c r="L38" t="str">
        <f>INDEX(league_players!C:C,MATCH($A38,league_players!$A:$A,0))</f>
        <v>Remco</v>
      </c>
      <c r="M38" t="str">
        <f>INDEX(league_players!D:D,MATCH($A38,league_players!$A:$A,0))</f>
        <v>Schenk</v>
      </c>
      <c r="N38" s="1">
        <v>45000</v>
      </c>
      <c r="O38" s="1">
        <f t="shared" si="0"/>
        <v>45002</v>
      </c>
    </row>
    <row r="39" spans="1:15" x14ac:dyDescent="0.2">
      <c r="A39" t="s">
        <v>128</v>
      </c>
      <c r="B39">
        <v>13</v>
      </c>
      <c r="C39">
        <v>4</v>
      </c>
      <c r="D39">
        <v>76</v>
      </c>
      <c r="E39">
        <v>89</v>
      </c>
      <c r="F39">
        <v>1</v>
      </c>
      <c r="G39">
        <v>14</v>
      </c>
      <c r="H39">
        <v>55</v>
      </c>
      <c r="I39" t="s">
        <v>486</v>
      </c>
      <c r="J39" s="6">
        <v>44986</v>
      </c>
      <c r="K39" s="1">
        <v>45001</v>
      </c>
      <c r="L39" t="str">
        <f>INDEX(league_players!C:C,MATCH($A39,league_players!$A:$A,0))</f>
        <v>Florian</v>
      </c>
      <c r="M39" t="str">
        <f>INDEX(league_players!D:D,MATCH($A39,league_players!$A:$A,0))</f>
        <v>Dumas</v>
      </c>
      <c r="N39" s="1">
        <v>45000</v>
      </c>
      <c r="O39" s="1">
        <f t="shared" si="0"/>
        <v>45002</v>
      </c>
    </row>
    <row r="40" spans="1:15" x14ac:dyDescent="0.2">
      <c r="A40" s="3" t="s">
        <v>274</v>
      </c>
      <c r="B40">
        <v>16.5</v>
      </c>
      <c r="C40">
        <v>1</v>
      </c>
      <c r="D40">
        <v>73</v>
      </c>
      <c r="E40">
        <v>90</v>
      </c>
      <c r="F40">
        <v>1</v>
      </c>
      <c r="G40">
        <v>17.5</v>
      </c>
      <c r="H40">
        <v>85</v>
      </c>
      <c r="I40" t="s">
        <v>486</v>
      </c>
      <c r="J40" s="6">
        <v>44986</v>
      </c>
      <c r="K40" s="1">
        <v>45001</v>
      </c>
      <c r="L40" t="str">
        <f>INDEX(league_players!C:C,MATCH($A40,league_players!$A:$A,0))</f>
        <v>Nic</v>
      </c>
      <c r="M40" t="str">
        <f>INDEX(league_players!D:D,MATCH($A40,league_players!$A:$A,0))</f>
        <v>Kopitsis</v>
      </c>
      <c r="N40" s="1">
        <v>45000</v>
      </c>
      <c r="O40" s="1">
        <f t="shared" si="0"/>
        <v>45002</v>
      </c>
    </row>
    <row r="41" spans="1:15" x14ac:dyDescent="0.2">
      <c r="A41" t="s">
        <v>36</v>
      </c>
      <c r="B41">
        <v>19.5</v>
      </c>
      <c r="C41">
        <v>0</v>
      </c>
      <c r="D41">
        <v>72</v>
      </c>
      <c r="E41">
        <v>92</v>
      </c>
      <c r="F41">
        <v>0</v>
      </c>
      <c r="G41">
        <v>19.5</v>
      </c>
      <c r="H41">
        <v>100</v>
      </c>
      <c r="I41" t="s">
        <v>486</v>
      </c>
      <c r="J41" s="6">
        <v>44986</v>
      </c>
      <c r="K41" s="1">
        <v>45001</v>
      </c>
      <c r="L41" t="str">
        <f>INDEX(league_players!C:C,MATCH($A41,league_players!$A:$A,0))</f>
        <v>Andre</v>
      </c>
      <c r="M41" t="str">
        <f>INDEX(league_players!D:D,MATCH($A41,league_players!$A:$A,0))</f>
        <v>Gruber</v>
      </c>
      <c r="N41" s="1">
        <v>45000</v>
      </c>
      <c r="O41" s="1">
        <f t="shared" si="0"/>
        <v>45002</v>
      </c>
    </row>
    <row r="42" spans="1:15" x14ac:dyDescent="0.2">
      <c r="A42" t="s">
        <v>248</v>
      </c>
      <c r="B42">
        <v>14</v>
      </c>
      <c r="C42">
        <v>6</v>
      </c>
      <c r="D42">
        <v>78</v>
      </c>
      <c r="E42">
        <v>92</v>
      </c>
      <c r="F42">
        <v>1</v>
      </c>
      <c r="G42">
        <v>15</v>
      </c>
      <c r="H42">
        <v>30</v>
      </c>
      <c r="I42" t="s">
        <v>486</v>
      </c>
      <c r="J42" s="6">
        <v>44986</v>
      </c>
      <c r="K42" s="1">
        <v>45001</v>
      </c>
      <c r="L42" t="str">
        <f>INDEX(league_players!C:C,MATCH($A42,league_players!$A:$A,0))</f>
        <v>Marc</v>
      </c>
      <c r="M42" t="str">
        <f>INDEX(league_players!D:D,MATCH($A42,league_players!$A:$A,0))</f>
        <v>Westgate</v>
      </c>
      <c r="N42" s="1">
        <v>45000</v>
      </c>
      <c r="O42" s="1">
        <f t="shared" si="0"/>
        <v>45002</v>
      </c>
    </row>
    <row r="43" spans="1:15" x14ac:dyDescent="0.2">
      <c r="A43" t="s">
        <v>102</v>
      </c>
      <c r="B43">
        <v>23</v>
      </c>
      <c r="C43">
        <v>4</v>
      </c>
      <c r="D43">
        <v>76</v>
      </c>
      <c r="E43">
        <v>99</v>
      </c>
      <c r="F43">
        <v>1</v>
      </c>
      <c r="G43">
        <v>24</v>
      </c>
      <c r="H43">
        <v>55</v>
      </c>
      <c r="I43" t="s">
        <v>486</v>
      </c>
      <c r="J43" s="6">
        <v>44986</v>
      </c>
      <c r="K43" s="1">
        <v>45001</v>
      </c>
      <c r="L43" t="str">
        <f>INDEX(league_players!C:C,MATCH($A43,league_players!$A:$A,0))</f>
        <v>Darren</v>
      </c>
      <c r="M43" t="str">
        <f>INDEX(league_players!D:D,MATCH($A43,league_players!$A:$A,0))</f>
        <v>Measures</v>
      </c>
      <c r="N43" s="1">
        <v>45000</v>
      </c>
      <c r="O43" s="1">
        <f t="shared" si="0"/>
        <v>45002</v>
      </c>
    </row>
    <row r="44" spans="1:15" x14ac:dyDescent="0.2">
      <c r="A44" t="s">
        <v>38</v>
      </c>
      <c r="B44">
        <v>23</v>
      </c>
      <c r="C44">
        <v>5</v>
      </c>
      <c r="D44">
        <v>77</v>
      </c>
      <c r="E44">
        <v>100</v>
      </c>
      <c r="F44">
        <v>1</v>
      </c>
      <c r="G44">
        <v>24</v>
      </c>
      <c r="H44">
        <v>40</v>
      </c>
      <c r="I44" t="s">
        <v>486</v>
      </c>
      <c r="J44" s="6">
        <v>44986</v>
      </c>
      <c r="K44" s="1">
        <v>45001</v>
      </c>
      <c r="L44" t="str">
        <f>INDEX(league_players!C:C,MATCH($A44,league_players!$A:$A,0))</f>
        <v>Andrea</v>
      </c>
      <c r="M44" t="str">
        <f>INDEX(league_players!D:D,MATCH($A44,league_players!$A:$A,0))</f>
        <v>Sbalchiero</v>
      </c>
      <c r="N44" s="1">
        <v>45000</v>
      </c>
      <c r="O44" s="1">
        <f t="shared" si="0"/>
        <v>45002</v>
      </c>
    </row>
    <row r="45" spans="1:15" x14ac:dyDescent="0.2">
      <c r="A45" t="s">
        <v>4</v>
      </c>
      <c r="B45">
        <v>25</v>
      </c>
      <c r="C45">
        <v>3</v>
      </c>
      <c r="D45">
        <v>75</v>
      </c>
      <c r="E45">
        <v>100</v>
      </c>
      <c r="F45">
        <v>0</v>
      </c>
      <c r="G45">
        <v>25</v>
      </c>
      <c r="H45">
        <v>70</v>
      </c>
      <c r="I45" t="s">
        <v>486</v>
      </c>
      <c r="J45" s="6">
        <v>44986</v>
      </c>
      <c r="K45" s="1">
        <v>45001</v>
      </c>
      <c r="L45" t="str">
        <f>INDEX(league_players!C:C,MATCH($A45,league_players!$A:$A,0))</f>
        <v>Edward</v>
      </c>
      <c r="M45" t="str">
        <f>INDEX(league_players!D:D,MATCH($A45,league_players!$A:$A,0))</f>
        <v>Mills</v>
      </c>
      <c r="N45" s="1">
        <v>45000</v>
      </c>
      <c r="O45" s="1">
        <f t="shared" si="0"/>
        <v>45002</v>
      </c>
    </row>
    <row r="46" spans="1:15" x14ac:dyDescent="0.2">
      <c r="A46" t="s">
        <v>120</v>
      </c>
      <c r="B46">
        <v>20</v>
      </c>
      <c r="C46">
        <v>8</v>
      </c>
      <c r="D46">
        <v>80</v>
      </c>
      <c r="E46">
        <v>100</v>
      </c>
      <c r="F46">
        <v>0</v>
      </c>
      <c r="G46">
        <v>20</v>
      </c>
      <c r="H46">
        <v>10</v>
      </c>
      <c r="I46" t="s">
        <v>486</v>
      </c>
      <c r="J46" s="6">
        <v>44986</v>
      </c>
      <c r="K46" s="1">
        <v>45001</v>
      </c>
      <c r="L46" t="str">
        <f>INDEX(league_players!C:C,MATCH($A46,league_players!$A:$A,0))</f>
        <v>Ed</v>
      </c>
      <c r="M46" t="str">
        <f>INDEX(league_players!D:D,MATCH($A46,league_players!$A:$A,0))</f>
        <v>Thwaites</v>
      </c>
      <c r="N46" s="1">
        <v>45000</v>
      </c>
      <c r="O46" s="1">
        <f t="shared" si="0"/>
        <v>45002</v>
      </c>
    </row>
    <row r="47" spans="1:15" x14ac:dyDescent="0.2">
      <c r="A47" t="s">
        <v>318</v>
      </c>
      <c r="B47">
        <v>21</v>
      </c>
      <c r="C47">
        <v>7</v>
      </c>
      <c r="D47">
        <v>79</v>
      </c>
      <c r="E47">
        <v>100</v>
      </c>
      <c r="F47">
        <v>1</v>
      </c>
      <c r="G47">
        <v>22</v>
      </c>
      <c r="H47">
        <v>20</v>
      </c>
      <c r="I47" t="s">
        <v>486</v>
      </c>
      <c r="J47" s="6">
        <v>44986</v>
      </c>
      <c r="K47" s="1">
        <v>45001</v>
      </c>
      <c r="L47" t="str">
        <f>INDEX(league_players!C:C,MATCH($A47,league_players!$A:$A,0))</f>
        <v>Richard</v>
      </c>
      <c r="M47" t="str">
        <f>INDEX(league_players!D:D,MATCH($A47,league_players!$A:$A,0))</f>
        <v>Cogswell</v>
      </c>
      <c r="N47" s="1">
        <v>45000</v>
      </c>
      <c r="O47" s="1">
        <f t="shared" si="0"/>
        <v>45002</v>
      </c>
    </row>
    <row r="48" spans="1:15" x14ac:dyDescent="0.2">
      <c r="A48" t="s">
        <v>286</v>
      </c>
      <c r="B48">
        <v>25</v>
      </c>
      <c r="C48">
        <v>8</v>
      </c>
      <c r="D48">
        <v>80</v>
      </c>
      <c r="E48">
        <v>105</v>
      </c>
      <c r="F48">
        <v>0</v>
      </c>
      <c r="G48">
        <v>25</v>
      </c>
      <c r="H48">
        <v>10</v>
      </c>
      <c r="I48" t="s">
        <v>486</v>
      </c>
      <c r="J48" s="6">
        <v>44986</v>
      </c>
      <c r="K48" s="1">
        <v>45001</v>
      </c>
      <c r="L48" t="str">
        <f>INDEX(league_players!C:C,MATCH($A48,league_players!$A:$A,0))</f>
        <v>Patrice</v>
      </c>
      <c r="M48" t="str">
        <f>INDEX(league_players!D:D,MATCH($A48,league_players!$A:$A,0))</f>
        <v>Magret Delord</v>
      </c>
      <c r="N48" s="1">
        <v>45000</v>
      </c>
      <c r="O48" s="1">
        <f t="shared" si="0"/>
        <v>45002</v>
      </c>
    </row>
    <row r="49" spans="1:15" x14ac:dyDescent="0.2">
      <c r="A49" t="s">
        <v>244</v>
      </c>
      <c r="B49">
        <v>6</v>
      </c>
      <c r="C49">
        <v>-1</v>
      </c>
      <c r="D49">
        <v>71</v>
      </c>
      <c r="E49">
        <v>77</v>
      </c>
      <c r="F49">
        <v>-0.5</v>
      </c>
      <c r="G49">
        <v>5.5</v>
      </c>
      <c r="H49">
        <v>5</v>
      </c>
      <c r="I49" t="s">
        <v>486</v>
      </c>
      <c r="J49" s="6">
        <v>45017</v>
      </c>
      <c r="K49" s="1">
        <v>45029</v>
      </c>
      <c r="L49" t="str">
        <f>INDEX(league_players!C:C,MATCH($A49,league_players!$A:$A,0))</f>
        <v>Luke</v>
      </c>
      <c r="M49" t="str">
        <f>INDEX(league_players!D:D,MATCH($A49,league_players!$A:$A,0))</f>
        <v>Moffat</v>
      </c>
      <c r="N49" s="1">
        <v>45028</v>
      </c>
      <c r="O49" s="1">
        <f t="shared" si="0"/>
        <v>45030</v>
      </c>
    </row>
    <row r="50" spans="1:15" x14ac:dyDescent="0.2">
      <c r="A50" t="s">
        <v>209</v>
      </c>
      <c r="B50">
        <v>14.5</v>
      </c>
      <c r="C50">
        <v>-4</v>
      </c>
      <c r="D50">
        <v>68</v>
      </c>
      <c r="E50">
        <v>83</v>
      </c>
      <c r="F50">
        <v>-2</v>
      </c>
      <c r="G50">
        <v>12.5</v>
      </c>
      <c r="H50">
        <v>100</v>
      </c>
      <c r="I50" t="s">
        <v>486</v>
      </c>
      <c r="J50" s="6">
        <v>45017</v>
      </c>
      <c r="K50" s="1">
        <v>45029</v>
      </c>
      <c r="L50" t="str">
        <f>INDEX(league_players!C:C,MATCH($A50,league_players!$A:$A,0))</f>
        <v>Julien</v>
      </c>
      <c r="M50" t="str">
        <f>INDEX(league_players!D:D,MATCH($A50,league_players!$A:$A,0))</f>
        <v>Blain</v>
      </c>
      <c r="N50" s="1">
        <v>45028</v>
      </c>
      <c r="O50" s="1">
        <f t="shared" si="0"/>
        <v>45030</v>
      </c>
    </row>
    <row r="51" spans="1:15" x14ac:dyDescent="0.2">
      <c r="A51" t="s">
        <v>250</v>
      </c>
      <c r="B51">
        <v>12</v>
      </c>
      <c r="C51">
        <v>0</v>
      </c>
      <c r="D51">
        <v>72</v>
      </c>
      <c r="E51">
        <v>84</v>
      </c>
      <c r="F51">
        <v>0</v>
      </c>
      <c r="G51">
        <v>12</v>
      </c>
      <c r="H51">
        <v>60</v>
      </c>
      <c r="I51" t="s">
        <v>486</v>
      </c>
      <c r="J51" s="6">
        <v>45017</v>
      </c>
      <c r="K51" s="1">
        <v>45029</v>
      </c>
      <c r="L51" t="str">
        <f>INDEX(league_players!C:C,MATCH($A51,league_players!$A:$A,0))</f>
        <v>Marco</v>
      </c>
      <c r="M51" t="str">
        <f>INDEX(league_players!D:D,MATCH($A51,league_players!$A:$A,0))</f>
        <v>Attilio</v>
      </c>
      <c r="N51" s="1">
        <v>45028</v>
      </c>
      <c r="O51" s="1">
        <f t="shared" si="0"/>
        <v>45030</v>
      </c>
    </row>
    <row r="52" spans="1:15" x14ac:dyDescent="0.2">
      <c r="A52" t="s">
        <v>248</v>
      </c>
      <c r="B52">
        <v>15</v>
      </c>
      <c r="C52">
        <v>-2</v>
      </c>
      <c r="D52">
        <v>70</v>
      </c>
      <c r="E52">
        <v>85</v>
      </c>
      <c r="F52">
        <v>-1</v>
      </c>
      <c r="G52">
        <v>14</v>
      </c>
      <c r="H52">
        <v>75</v>
      </c>
      <c r="I52" t="s">
        <v>486</v>
      </c>
      <c r="J52" s="6">
        <v>45017</v>
      </c>
      <c r="K52" s="1">
        <v>45029</v>
      </c>
      <c r="L52" t="str">
        <f>INDEX(league_players!C:C,MATCH($A52,league_players!$A:$A,0))</f>
        <v>Marc</v>
      </c>
      <c r="M52" t="str">
        <f>INDEX(league_players!D:D,MATCH($A52,league_players!$A:$A,0))</f>
        <v>Westgate</v>
      </c>
      <c r="N52" s="1">
        <v>45028</v>
      </c>
      <c r="O52" s="1">
        <f t="shared" si="0"/>
        <v>45030</v>
      </c>
    </row>
    <row r="53" spans="1:15" x14ac:dyDescent="0.2">
      <c r="A53" t="s">
        <v>207</v>
      </c>
      <c r="B53">
        <v>11</v>
      </c>
      <c r="C53">
        <v>8</v>
      </c>
      <c r="D53">
        <v>80</v>
      </c>
      <c r="E53">
        <v>91</v>
      </c>
      <c r="F53">
        <v>1</v>
      </c>
      <c r="G53">
        <v>12</v>
      </c>
      <c r="H53">
        <v>5</v>
      </c>
      <c r="I53" t="s">
        <v>486</v>
      </c>
      <c r="J53" s="6">
        <v>45017</v>
      </c>
      <c r="K53" s="1">
        <v>45029</v>
      </c>
      <c r="L53" t="str">
        <f>INDEX(league_players!C:C,MATCH($A53,league_players!$A:$A,0))</f>
        <v>Jonty</v>
      </c>
      <c r="M53" t="str">
        <f>INDEX(league_players!D:D,MATCH($A53,league_players!$A:$A,0))</f>
        <v>Richardson</v>
      </c>
      <c r="N53" s="1">
        <v>45028</v>
      </c>
      <c r="O53" s="1">
        <f t="shared" si="0"/>
        <v>45030</v>
      </c>
    </row>
    <row r="54" spans="1:15" x14ac:dyDescent="0.2">
      <c r="A54" t="s">
        <v>318</v>
      </c>
      <c r="B54">
        <v>22</v>
      </c>
      <c r="C54">
        <v>-2</v>
      </c>
      <c r="D54">
        <v>70</v>
      </c>
      <c r="E54">
        <v>92</v>
      </c>
      <c r="F54">
        <v>-1</v>
      </c>
      <c r="G54">
        <v>21</v>
      </c>
      <c r="H54">
        <v>75</v>
      </c>
      <c r="I54" t="s">
        <v>486</v>
      </c>
      <c r="J54" s="6">
        <v>45017</v>
      </c>
      <c r="K54" s="1">
        <v>45029</v>
      </c>
      <c r="L54" t="str">
        <f>INDEX(league_players!C:C,MATCH($A54,league_players!$A:$A,0))</f>
        <v>Richard</v>
      </c>
      <c r="M54" t="str">
        <f>INDEX(league_players!D:D,MATCH($A54,league_players!$A:$A,0))</f>
        <v>Cogswell</v>
      </c>
      <c r="N54" s="1">
        <v>45028</v>
      </c>
      <c r="O54" s="1">
        <f t="shared" si="0"/>
        <v>45030</v>
      </c>
    </row>
    <row r="55" spans="1:15" x14ac:dyDescent="0.2">
      <c r="A55" t="s">
        <v>312</v>
      </c>
      <c r="B55">
        <v>15.5</v>
      </c>
      <c r="C55">
        <v>6</v>
      </c>
      <c r="D55">
        <v>78</v>
      </c>
      <c r="E55">
        <v>94</v>
      </c>
      <c r="F55">
        <v>1</v>
      </c>
      <c r="G55">
        <v>16.5</v>
      </c>
      <c r="H55">
        <v>10</v>
      </c>
      <c r="I55" t="s">
        <v>486</v>
      </c>
      <c r="J55" s="6">
        <v>45017</v>
      </c>
      <c r="K55" s="1">
        <v>45029</v>
      </c>
      <c r="L55" t="str">
        <f>INDEX(league_players!C:C,MATCH($A55,league_players!$A:$A,0))</f>
        <v>Remco</v>
      </c>
      <c r="M55" t="str">
        <f>INDEX(league_players!D:D,MATCH($A55,league_players!$A:$A,0))</f>
        <v>Schenk</v>
      </c>
      <c r="N55" s="1">
        <v>45028</v>
      </c>
      <c r="O55" s="1">
        <f t="shared" si="0"/>
        <v>45030</v>
      </c>
    </row>
    <row r="56" spans="1:15" x14ac:dyDescent="0.2">
      <c r="A56" t="s">
        <v>355</v>
      </c>
      <c r="B56">
        <v>25</v>
      </c>
      <c r="C56">
        <v>-3</v>
      </c>
      <c r="D56">
        <v>69</v>
      </c>
      <c r="E56">
        <v>94</v>
      </c>
      <c r="F56">
        <v>-1.5</v>
      </c>
      <c r="G56">
        <v>23.5</v>
      </c>
      <c r="H56">
        <v>90</v>
      </c>
      <c r="I56" t="s">
        <v>486</v>
      </c>
      <c r="J56" s="6">
        <v>45017</v>
      </c>
      <c r="K56" s="1">
        <v>45029</v>
      </c>
      <c r="L56" t="str">
        <f>INDEX(league_players!C:C,MATCH($A56,league_players!$A:$A,0))</f>
        <v>Simon</v>
      </c>
      <c r="M56" t="str">
        <f>INDEX(league_players!D:D,MATCH($A56,league_players!$A:$A,0))</f>
        <v>Van Dijk</v>
      </c>
      <c r="N56" s="1">
        <v>45028</v>
      </c>
      <c r="O56" s="1">
        <f t="shared" si="0"/>
        <v>45030</v>
      </c>
    </row>
    <row r="57" spans="1:15" x14ac:dyDescent="0.2">
      <c r="A57" t="s">
        <v>38</v>
      </c>
      <c r="B57">
        <v>24</v>
      </c>
      <c r="C57">
        <v>2</v>
      </c>
      <c r="D57">
        <v>74</v>
      </c>
      <c r="E57">
        <v>98</v>
      </c>
      <c r="F57">
        <v>1</v>
      </c>
      <c r="G57">
        <v>25</v>
      </c>
      <c r="H57">
        <v>45</v>
      </c>
      <c r="I57" t="s">
        <v>486</v>
      </c>
      <c r="J57" s="6">
        <v>45017</v>
      </c>
      <c r="K57" s="1">
        <v>45029</v>
      </c>
      <c r="L57" t="str">
        <f>INDEX(league_players!C:C,MATCH($A57,league_players!$A:$A,0))</f>
        <v>Andrea</v>
      </c>
      <c r="M57" t="str">
        <f>INDEX(league_players!D:D,MATCH($A57,league_players!$A:$A,0))</f>
        <v>Sbalchiero</v>
      </c>
      <c r="N57" s="1">
        <v>45028</v>
      </c>
      <c r="O57" s="1">
        <f t="shared" si="0"/>
        <v>45030</v>
      </c>
    </row>
    <row r="58" spans="1:15" x14ac:dyDescent="0.2">
      <c r="A58" t="s">
        <v>286</v>
      </c>
      <c r="B58">
        <v>25</v>
      </c>
      <c r="C58">
        <v>2</v>
      </c>
      <c r="D58">
        <v>74</v>
      </c>
      <c r="E58">
        <v>99</v>
      </c>
      <c r="F58">
        <v>0</v>
      </c>
      <c r="G58">
        <v>25</v>
      </c>
      <c r="H58">
        <v>45</v>
      </c>
      <c r="I58" t="s">
        <v>486</v>
      </c>
      <c r="J58" s="6">
        <v>45017</v>
      </c>
      <c r="K58" s="1">
        <v>45029</v>
      </c>
      <c r="L58" t="str">
        <f>INDEX(league_players!C:C,MATCH($A58,league_players!$A:$A,0))</f>
        <v>Patrice</v>
      </c>
      <c r="M58" t="str">
        <f>INDEX(league_players!D:D,MATCH($A58,league_players!$A:$A,0))</f>
        <v>Magret Delord</v>
      </c>
      <c r="N58" s="1">
        <v>45028</v>
      </c>
      <c r="O58" s="1">
        <f t="shared" si="0"/>
        <v>45030</v>
      </c>
    </row>
    <row r="59" spans="1:15" x14ac:dyDescent="0.2">
      <c r="A59" t="s">
        <v>102</v>
      </c>
      <c r="B59">
        <v>24</v>
      </c>
      <c r="C59">
        <v>4</v>
      </c>
      <c r="D59">
        <v>76</v>
      </c>
      <c r="E59">
        <v>100</v>
      </c>
      <c r="F59">
        <v>1</v>
      </c>
      <c r="G59">
        <v>25</v>
      </c>
      <c r="H59">
        <v>25</v>
      </c>
      <c r="I59" t="s">
        <v>486</v>
      </c>
      <c r="J59" s="6">
        <v>45017</v>
      </c>
      <c r="K59" s="1">
        <v>45029</v>
      </c>
      <c r="L59" t="str">
        <f>INDEX(league_players!C:C,MATCH($A59,league_players!$A:$A,0))</f>
        <v>Darren</v>
      </c>
      <c r="M59" t="str">
        <f>INDEX(league_players!D:D,MATCH($A59,league_players!$A:$A,0))</f>
        <v>Measures</v>
      </c>
      <c r="N59" s="1">
        <v>45028</v>
      </c>
      <c r="O59" s="1">
        <f t="shared" si="0"/>
        <v>45030</v>
      </c>
    </row>
    <row r="60" spans="1:15" x14ac:dyDescent="0.2">
      <c r="A60" t="s">
        <v>310</v>
      </c>
      <c r="B60">
        <v>25</v>
      </c>
      <c r="C60">
        <v>4</v>
      </c>
      <c r="D60">
        <v>76</v>
      </c>
      <c r="E60">
        <v>101</v>
      </c>
      <c r="F60">
        <v>0</v>
      </c>
      <c r="G60">
        <v>25</v>
      </c>
      <c r="H60">
        <v>25</v>
      </c>
      <c r="I60" t="s">
        <v>486</v>
      </c>
      <c r="J60" s="6">
        <v>45017</v>
      </c>
      <c r="K60" s="1">
        <v>45029</v>
      </c>
      <c r="L60" t="str">
        <f>INDEX(league_players!C:C,MATCH($A60,league_players!$A:$A,0))</f>
        <v>Rana</v>
      </c>
      <c r="M60" t="str">
        <f>INDEX(league_players!D:D,MATCH($A60,league_players!$A:$A,0))</f>
        <v>Datta</v>
      </c>
      <c r="N60" s="1">
        <v>45028</v>
      </c>
      <c r="O60" s="1">
        <f t="shared" si="0"/>
        <v>45030</v>
      </c>
    </row>
    <row r="61" spans="1:15" x14ac:dyDescent="0.2">
      <c r="A61" t="s">
        <v>195</v>
      </c>
      <c r="B61">
        <v>1</v>
      </c>
      <c r="C61">
        <v>-5</v>
      </c>
      <c r="D61">
        <v>68</v>
      </c>
      <c r="E61">
        <v>69</v>
      </c>
      <c r="F61">
        <v>-2.5</v>
      </c>
      <c r="G61">
        <v>-1.5</v>
      </c>
      <c r="H61">
        <v>80</v>
      </c>
      <c r="I61" s="9" t="s">
        <v>486</v>
      </c>
      <c r="J61" s="6">
        <v>45078</v>
      </c>
      <c r="K61" s="1">
        <v>45099</v>
      </c>
      <c r="L61" t="str">
        <f>INDEX(league_players!C:C,MATCH($A61,league_players!$A:$A,0))</f>
        <v>John</v>
      </c>
      <c r="M61" t="str">
        <f>INDEX(league_players!D:D,MATCH($A61,league_players!$A:$A,0))</f>
        <v>Heming</v>
      </c>
      <c r="N61" s="1">
        <v>45098</v>
      </c>
      <c r="O61" s="1">
        <f t="shared" si="0"/>
        <v>45100</v>
      </c>
    </row>
    <row r="62" spans="1:15" x14ac:dyDescent="0.2">
      <c r="A62" t="s">
        <v>226</v>
      </c>
      <c r="B62">
        <v>17</v>
      </c>
      <c r="C62">
        <v>-8</v>
      </c>
      <c r="D62">
        <v>65</v>
      </c>
      <c r="E62">
        <v>82</v>
      </c>
      <c r="F62">
        <v>-4</v>
      </c>
      <c r="G62">
        <v>13</v>
      </c>
      <c r="H62">
        <v>100</v>
      </c>
      <c r="I62" s="9" t="s">
        <v>486</v>
      </c>
      <c r="J62" s="6">
        <v>45078</v>
      </c>
      <c r="K62" s="1">
        <v>45099</v>
      </c>
      <c r="L62" t="str">
        <f>INDEX(league_players!C:C,MATCH($A62,league_players!$A:$A,0))</f>
        <v>Kenneth</v>
      </c>
      <c r="M62" t="str">
        <f>INDEX(league_players!D:D,MATCH($A62,league_players!$A:$A,0))</f>
        <v>Cheung</v>
      </c>
      <c r="N62" s="1">
        <v>45098</v>
      </c>
      <c r="O62" s="1">
        <f t="shared" si="0"/>
        <v>45100</v>
      </c>
    </row>
    <row r="63" spans="1:15" x14ac:dyDescent="0.2">
      <c r="A63" t="s">
        <v>128</v>
      </c>
      <c r="B63">
        <v>13</v>
      </c>
      <c r="C63">
        <v>0</v>
      </c>
      <c r="D63">
        <v>73</v>
      </c>
      <c r="E63">
        <v>86</v>
      </c>
      <c r="F63">
        <v>0</v>
      </c>
      <c r="G63">
        <v>13</v>
      </c>
      <c r="H63">
        <v>60</v>
      </c>
      <c r="I63" s="9" t="s">
        <v>486</v>
      </c>
      <c r="J63" s="6">
        <v>45078</v>
      </c>
      <c r="K63" s="1">
        <v>45099</v>
      </c>
      <c r="L63" t="str">
        <f>INDEX(league_players!C:C,MATCH($A63,league_players!$A:$A,0))</f>
        <v>Florian</v>
      </c>
      <c r="M63" t="str">
        <f>INDEX(league_players!D:D,MATCH($A63,league_players!$A:$A,0))</f>
        <v>Dumas</v>
      </c>
      <c r="N63" s="1">
        <v>45098</v>
      </c>
      <c r="O63" s="1">
        <f t="shared" si="0"/>
        <v>45100</v>
      </c>
    </row>
    <row r="64" spans="1:15" x14ac:dyDescent="0.2">
      <c r="A64" t="s">
        <v>130</v>
      </c>
      <c r="B64">
        <v>6</v>
      </c>
      <c r="C64">
        <v>7</v>
      </c>
      <c r="D64">
        <v>80</v>
      </c>
      <c r="E64">
        <v>86</v>
      </c>
      <c r="F64">
        <v>1</v>
      </c>
      <c r="G64">
        <v>7</v>
      </c>
      <c r="H64">
        <v>5</v>
      </c>
      <c r="I64" s="9" t="s">
        <v>486</v>
      </c>
      <c r="J64" s="6">
        <v>45078</v>
      </c>
      <c r="K64" s="1">
        <v>45099</v>
      </c>
      <c r="L64" t="str">
        <f>INDEX(league_players!C:C,MATCH($A64,league_players!$A:$A,0))</f>
        <v>Florian</v>
      </c>
      <c r="M64" t="str">
        <f>INDEX(league_players!D:D,MATCH($A64,league_players!$A:$A,0))</f>
        <v>Goupil</v>
      </c>
      <c r="N64" s="1">
        <v>45098</v>
      </c>
      <c r="O64" s="1">
        <f t="shared" si="0"/>
        <v>45100</v>
      </c>
    </row>
    <row r="65" spans="1:15" x14ac:dyDescent="0.2">
      <c r="A65" t="s">
        <v>209</v>
      </c>
      <c r="B65">
        <v>12.5</v>
      </c>
      <c r="C65">
        <v>0</v>
      </c>
      <c r="D65">
        <v>73</v>
      </c>
      <c r="E65">
        <v>86</v>
      </c>
      <c r="F65">
        <v>0</v>
      </c>
      <c r="G65">
        <v>12.5</v>
      </c>
      <c r="H65">
        <v>60</v>
      </c>
      <c r="I65" s="9" t="s">
        <v>486</v>
      </c>
      <c r="J65" s="6">
        <v>45078</v>
      </c>
      <c r="K65" s="1">
        <v>45099</v>
      </c>
      <c r="L65" t="str">
        <f>INDEX(league_players!C:C,MATCH($A65,league_players!$A:$A,0))</f>
        <v>Julien</v>
      </c>
      <c r="M65" t="str">
        <f>INDEX(league_players!D:D,MATCH($A65,league_players!$A:$A,0))</f>
        <v>Blain</v>
      </c>
      <c r="N65" s="1">
        <v>45098</v>
      </c>
      <c r="O65" s="1">
        <f t="shared" si="0"/>
        <v>45100</v>
      </c>
    </row>
    <row r="66" spans="1:15" x14ac:dyDescent="0.2">
      <c r="A66" t="s">
        <v>327</v>
      </c>
      <c r="B66">
        <v>16</v>
      </c>
      <c r="C66">
        <v>-2</v>
      </c>
      <c r="D66">
        <v>71</v>
      </c>
      <c r="E66">
        <v>87</v>
      </c>
      <c r="F66">
        <v>-1</v>
      </c>
      <c r="G66">
        <v>15</v>
      </c>
      <c r="H66">
        <v>5</v>
      </c>
      <c r="I66" s="9" t="s">
        <v>487</v>
      </c>
      <c r="J66" s="6">
        <v>45078</v>
      </c>
      <c r="K66" s="1">
        <v>45099</v>
      </c>
      <c r="L66" t="str">
        <f>INDEX(league_players!C:C,MATCH($A66,league_players!$A:$A,0))</f>
        <v>Ryan</v>
      </c>
      <c r="M66" t="str">
        <f>INDEX(league_players!D:D,MATCH($A66,league_players!$A:$A,0))</f>
        <v>Neebe</v>
      </c>
      <c r="N66" s="1">
        <v>45098</v>
      </c>
      <c r="O66" s="1">
        <f t="shared" si="0"/>
        <v>45100</v>
      </c>
    </row>
    <row r="67" spans="1:15" x14ac:dyDescent="0.2">
      <c r="A67" t="s">
        <v>250</v>
      </c>
      <c r="B67">
        <v>12</v>
      </c>
      <c r="C67">
        <v>5</v>
      </c>
      <c r="D67">
        <v>78</v>
      </c>
      <c r="E67">
        <v>90</v>
      </c>
      <c r="F67">
        <v>1</v>
      </c>
      <c r="G67">
        <v>13</v>
      </c>
      <c r="H67">
        <v>30</v>
      </c>
      <c r="I67" s="9" t="s">
        <v>486</v>
      </c>
      <c r="J67" s="6">
        <v>45078</v>
      </c>
      <c r="K67" s="1">
        <v>45099</v>
      </c>
      <c r="L67" t="str">
        <f>INDEX(league_players!C:C,MATCH($A67,league_players!$A:$A,0))</f>
        <v>Marco</v>
      </c>
      <c r="M67" t="str">
        <f>INDEX(league_players!D:D,MATCH($A67,league_players!$A:$A,0))</f>
        <v>Attilio</v>
      </c>
      <c r="N67" s="1">
        <v>45098</v>
      </c>
      <c r="O67" s="1">
        <f t="shared" ref="O67:O130" si="1">K67+1</f>
        <v>45100</v>
      </c>
    </row>
    <row r="68" spans="1:15" x14ac:dyDescent="0.2">
      <c r="A68" t="s">
        <v>182</v>
      </c>
      <c r="B68">
        <v>25</v>
      </c>
      <c r="C68">
        <v>-7</v>
      </c>
      <c r="D68">
        <v>66</v>
      </c>
      <c r="E68">
        <v>91</v>
      </c>
      <c r="F68">
        <v>-3.5</v>
      </c>
      <c r="G68">
        <v>21.5</v>
      </c>
      <c r="H68">
        <v>90</v>
      </c>
      <c r="I68" s="9" t="s">
        <v>486</v>
      </c>
      <c r="J68" s="6">
        <v>45078</v>
      </c>
      <c r="K68" s="1">
        <v>45099</v>
      </c>
      <c r="L68" t="str">
        <f>INDEX(league_players!C:C,MATCH($A68,league_players!$A:$A,0))</f>
        <v>Jason</v>
      </c>
      <c r="M68" t="str">
        <f>INDEX(league_players!D:D,MATCH($A68,league_players!$A:$A,0))</f>
        <v>Pae</v>
      </c>
      <c r="N68" s="1">
        <v>45098</v>
      </c>
      <c r="O68" s="1">
        <f t="shared" si="1"/>
        <v>45100</v>
      </c>
    </row>
    <row r="69" spans="1:15" x14ac:dyDescent="0.2">
      <c r="A69" t="s">
        <v>38</v>
      </c>
      <c r="B69">
        <v>15</v>
      </c>
      <c r="C69">
        <v>6</v>
      </c>
      <c r="D69">
        <v>79</v>
      </c>
      <c r="E69">
        <v>94</v>
      </c>
      <c r="F69">
        <v>1</v>
      </c>
      <c r="G69">
        <v>16</v>
      </c>
      <c r="H69">
        <v>15</v>
      </c>
      <c r="I69" s="9" t="s">
        <v>486</v>
      </c>
      <c r="J69" s="6">
        <v>45078</v>
      </c>
      <c r="K69" s="1">
        <v>45099</v>
      </c>
      <c r="L69" t="str">
        <f>INDEX(league_players!C:C,MATCH($A69,league_players!$A:$A,0))</f>
        <v>Andrea</v>
      </c>
      <c r="M69" t="str">
        <f>INDEX(league_players!D:D,MATCH($A69,league_players!$A:$A,0))</f>
        <v>Sbalchiero</v>
      </c>
      <c r="N69" s="1">
        <v>45098</v>
      </c>
      <c r="O69" s="1">
        <f t="shared" si="1"/>
        <v>45100</v>
      </c>
    </row>
    <row r="70" spans="1:15" x14ac:dyDescent="0.2">
      <c r="A70" t="s">
        <v>28</v>
      </c>
      <c r="B70">
        <v>17</v>
      </c>
      <c r="C70">
        <v>8</v>
      </c>
      <c r="D70">
        <v>81</v>
      </c>
      <c r="E70">
        <v>98</v>
      </c>
      <c r="F70">
        <v>1</v>
      </c>
      <c r="G70">
        <v>18</v>
      </c>
      <c r="H70">
        <v>5</v>
      </c>
      <c r="I70" s="9" t="s">
        <v>486</v>
      </c>
      <c r="J70" s="6">
        <v>45078</v>
      </c>
      <c r="K70" s="1">
        <v>45099</v>
      </c>
      <c r="L70" t="str">
        <f>INDEX(league_players!C:C,MATCH($A70,league_players!$A:$A,0))</f>
        <v>Alex</v>
      </c>
      <c r="M70" t="str">
        <f>INDEX(league_players!D:D,MATCH($A70,league_players!$A:$A,0))</f>
        <v>Thanopoulos</v>
      </c>
      <c r="N70" s="1">
        <v>45098</v>
      </c>
      <c r="O70" s="1">
        <f t="shared" si="1"/>
        <v>45100</v>
      </c>
    </row>
    <row r="71" spans="1:15" x14ac:dyDescent="0.2">
      <c r="A71" t="s">
        <v>59</v>
      </c>
      <c r="B71">
        <v>21</v>
      </c>
      <c r="C71">
        <v>4</v>
      </c>
      <c r="D71">
        <v>77</v>
      </c>
      <c r="E71">
        <v>98</v>
      </c>
      <c r="F71">
        <v>1</v>
      </c>
      <c r="G71">
        <v>22</v>
      </c>
      <c r="H71">
        <v>40</v>
      </c>
      <c r="I71" s="9" t="s">
        <v>486</v>
      </c>
      <c r="J71" s="6">
        <v>45078</v>
      </c>
      <c r="K71" s="1">
        <v>45099</v>
      </c>
      <c r="L71" t="str">
        <f>INDEX(league_players!C:C,MATCH($A71,league_players!$A:$A,0))</f>
        <v>Barnaby</v>
      </c>
      <c r="M71" t="str">
        <f>INDEX(league_players!D:D,MATCH($A71,league_players!$A:$A,0))</f>
        <v>Dobson</v>
      </c>
      <c r="N71" s="1">
        <v>45098</v>
      </c>
      <c r="O71" s="1">
        <f t="shared" si="1"/>
        <v>45100</v>
      </c>
    </row>
    <row r="72" spans="1:15" x14ac:dyDescent="0.2">
      <c r="A72" t="s">
        <v>310</v>
      </c>
      <c r="B72">
        <v>25</v>
      </c>
      <c r="C72">
        <v>0</v>
      </c>
      <c r="D72">
        <v>73</v>
      </c>
      <c r="E72">
        <v>98</v>
      </c>
      <c r="F72">
        <v>0</v>
      </c>
      <c r="G72">
        <v>25</v>
      </c>
      <c r="H72">
        <v>60</v>
      </c>
      <c r="I72" s="9" t="s">
        <v>486</v>
      </c>
      <c r="J72" s="6">
        <v>45078</v>
      </c>
      <c r="K72" s="1">
        <v>45099</v>
      </c>
      <c r="L72" t="str">
        <f>INDEX(league_players!C:C,MATCH($A72,league_players!$A:$A,0))</f>
        <v>Rana</v>
      </c>
      <c r="M72" t="str">
        <f>INDEX(league_players!D:D,MATCH($A72,league_players!$A:$A,0))</f>
        <v>Datta</v>
      </c>
      <c r="N72" s="1">
        <v>45098</v>
      </c>
      <c r="O72" s="1">
        <f t="shared" si="1"/>
        <v>45100</v>
      </c>
    </row>
    <row r="73" spans="1:15" x14ac:dyDescent="0.2">
      <c r="A73" t="s">
        <v>4</v>
      </c>
      <c r="B73">
        <v>18</v>
      </c>
      <c r="C73">
        <v>8</v>
      </c>
      <c r="D73">
        <v>81</v>
      </c>
      <c r="E73">
        <v>99</v>
      </c>
      <c r="F73">
        <v>1</v>
      </c>
      <c r="G73">
        <v>19</v>
      </c>
      <c r="H73">
        <v>5</v>
      </c>
      <c r="I73" s="9" t="s">
        <v>486</v>
      </c>
      <c r="J73" s="6">
        <v>45078</v>
      </c>
      <c r="K73" s="1">
        <v>45099</v>
      </c>
      <c r="L73" t="str">
        <f>INDEX(league_players!C:C,MATCH($A73,league_players!$A:$A,0))</f>
        <v>Edward</v>
      </c>
      <c r="M73" t="str">
        <f>INDEX(league_players!D:D,MATCH($A73,league_players!$A:$A,0))</f>
        <v>Mills</v>
      </c>
      <c r="N73" s="1">
        <v>45098</v>
      </c>
      <c r="O73" s="1">
        <f t="shared" si="1"/>
        <v>45100</v>
      </c>
    </row>
    <row r="74" spans="1:15" x14ac:dyDescent="0.2">
      <c r="A74" t="s">
        <v>102</v>
      </c>
      <c r="B74">
        <v>25</v>
      </c>
      <c r="C74">
        <v>8</v>
      </c>
      <c r="D74">
        <v>81</v>
      </c>
      <c r="E74">
        <v>106</v>
      </c>
      <c r="F74">
        <v>0</v>
      </c>
      <c r="G74">
        <v>25</v>
      </c>
      <c r="H74">
        <v>5</v>
      </c>
      <c r="I74" s="9" t="s">
        <v>486</v>
      </c>
      <c r="J74" s="6">
        <v>45078</v>
      </c>
      <c r="K74" s="1">
        <v>45099</v>
      </c>
      <c r="L74" t="str">
        <f>INDEX(league_players!C:C,MATCH($A74,league_players!$A:$A,0))</f>
        <v>Darren</v>
      </c>
      <c r="M74" t="str">
        <f>INDEX(league_players!D:D,MATCH($A74,league_players!$A:$A,0))</f>
        <v>Measures</v>
      </c>
      <c r="N74" s="1">
        <v>45098</v>
      </c>
      <c r="O74" s="1">
        <f t="shared" si="1"/>
        <v>45100</v>
      </c>
    </row>
    <row r="75" spans="1:15" x14ac:dyDescent="0.2">
      <c r="A75" t="s">
        <v>361</v>
      </c>
      <c r="B75">
        <v>27</v>
      </c>
      <c r="C75">
        <v>6</v>
      </c>
      <c r="D75">
        <v>79</v>
      </c>
      <c r="E75">
        <v>106</v>
      </c>
      <c r="F75">
        <v>0</v>
      </c>
      <c r="G75">
        <v>27</v>
      </c>
      <c r="H75">
        <v>15</v>
      </c>
      <c r="I75" s="9" t="s">
        <v>486</v>
      </c>
      <c r="J75" s="6">
        <v>45078</v>
      </c>
      <c r="K75" s="1">
        <v>45099</v>
      </c>
      <c r="L75" t="str">
        <f>INDEX(league_players!C:C,MATCH($A75,league_players!$A:$A,0))</f>
        <v>Sophie</v>
      </c>
      <c r="M75" t="str">
        <f>INDEX(league_players!D:D,MATCH($A75,league_players!$A:$A,0))</f>
        <v>Yeung</v>
      </c>
      <c r="N75" s="1">
        <v>45098</v>
      </c>
      <c r="O75" s="1">
        <f t="shared" si="1"/>
        <v>45100</v>
      </c>
    </row>
    <row r="76" spans="1:15" x14ac:dyDescent="0.2">
      <c r="A76" t="s">
        <v>190</v>
      </c>
      <c r="B76">
        <v>25</v>
      </c>
      <c r="C76">
        <v>12</v>
      </c>
      <c r="D76">
        <v>85</v>
      </c>
      <c r="E76">
        <v>110</v>
      </c>
      <c r="F76">
        <v>0</v>
      </c>
      <c r="G76">
        <v>25</v>
      </c>
      <c r="H76">
        <v>5</v>
      </c>
      <c r="I76" s="9" t="s">
        <v>486</v>
      </c>
      <c r="J76" s="6">
        <v>45078</v>
      </c>
      <c r="K76" s="1">
        <v>45099</v>
      </c>
      <c r="L76" t="str">
        <f>INDEX(league_players!C:C,MATCH($A76,league_players!$A:$A,0))</f>
        <v>Jeff</v>
      </c>
      <c r="M76" t="str">
        <f>INDEX(league_players!D:D,MATCH($A76,league_players!$A:$A,0))</f>
        <v>Plein</v>
      </c>
      <c r="N76" s="1">
        <v>45098</v>
      </c>
      <c r="O76" s="1">
        <f t="shared" si="1"/>
        <v>45100</v>
      </c>
    </row>
    <row r="77" spans="1:15" x14ac:dyDescent="0.2">
      <c r="A77" t="s">
        <v>197</v>
      </c>
      <c r="B77">
        <v>25</v>
      </c>
      <c r="C77">
        <v>22</v>
      </c>
      <c r="D77">
        <v>95</v>
      </c>
      <c r="E77">
        <v>120</v>
      </c>
      <c r="F77">
        <v>0</v>
      </c>
      <c r="G77">
        <v>25</v>
      </c>
      <c r="H77">
        <v>5</v>
      </c>
      <c r="I77" s="9" t="s">
        <v>486</v>
      </c>
      <c r="J77" s="6">
        <v>45078</v>
      </c>
      <c r="K77" s="1">
        <v>45099</v>
      </c>
      <c r="L77" t="str">
        <f>INDEX(league_players!C:C,MATCH($A77,league_players!$A:$A,0))</f>
        <v>John</v>
      </c>
      <c r="M77" t="str">
        <f>INDEX(league_players!D:D,MATCH($A77,league_players!$A:$A,0))</f>
        <v>Layburn</v>
      </c>
      <c r="N77" s="1">
        <v>45098</v>
      </c>
      <c r="O77" s="1">
        <f t="shared" si="1"/>
        <v>45100</v>
      </c>
    </row>
    <row r="78" spans="1:15" x14ac:dyDescent="0.2">
      <c r="A78" t="s">
        <v>276</v>
      </c>
      <c r="B78">
        <v>25</v>
      </c>
      <c r="C78">
        <v>23</v>
      </c>
      <c r="D78">
        <v>96</v>
      </c>
      <c r="E78">
        <v>121</v>
      </c>
      <c r="F78">
        <v>0</v>
      </c>
      <c r="G78">
        <v>25</v>
      </c>
      <c r="H78">
        <v>5</v>
      </c>
      <c r="I78" s="9" t="s">
        <v>486</v>
      </c>
      <c r="J78" s="6">
        <v>45078</v>
      </c>
      <c r="K78" s="1">
        <v>45099</v>
      </c>
      <c r="L78" t="str">
        <f>INDEX(league_players!C:C,MATCH($A78,league_players!$A:$A,0))</f>
        <v>Nicholas</v>
      </c>
      <c r="M78" t="str">
        <f>INDEX(league_players!D:D,MATCH($A78,league_players!$A:$A,0))</f>
        <v>Stipp</v>
      </c>
      <c r="N78" s="1">
        <v>45098</v>
      </c>
      <c r="O78" s="1">
        <f t="shared" si="1"/>
        <v>45100</v>
      </c>
    </row>
    <row r="79" spans="1:15" x14ac:dyDescent="0.2">
      <c r="A79" t="s">
        <v>194</v>
      </c>
      <c r="B79">
        <v>7</v>
      </c>
      <c r="C79">
        <v>-2</v>
      </c>
      <c r="D79">
        <v>71</v>
      </c>
      <c r="E79">
        <v>78</v>
      </c>
      <c r="F79">
        <v>-1</v>
      </c>
      <c r="G79">
        <v>6</v>
      </c>
      <c r="H79">
        <v>5</v>
      </c>
      <c r="I79" t="s">
        <v>487</v>
      </c>
      <c r="J79" s="6">
        <v>45108</v>
      </c>
      <c r="K79" s="1">
        <v>45120</v>
      </c>
      <c r="L79" t="str">
        <f>INDEX(league_players!C:C,MATCH($A79,league_players!$A:$A,0))</f>
        <v>Jesher</v>
      </c>
      <c r="M79" t="str">
        <f>INDEX(league_players!D:D,MATCH($A79,league_players!$A:$A,0))</f>
        <v>Lim</v>
      </c>
      <c r="N79" s="1">
        <v>45119</v>
      </c>
      <c r="O79" s="1">
        <f t="shared" si="1"/>
        <v>45121</v>
      </c>
    </row>
    <row r="80" spans="1:15" x14ac:dyDescent="0.2">
      <c r="A80" t="s">
        <v>209</v>
      </c>
      <c r="B80">
        <v>12.5</v>
      </c>
      <c r="C80">
        <v>-7</v>
      </c>
      <c r="D80">
        <v>66</v>
      </c>
      <c r="E80">
        <v>79</v>
      </c>
      <c r="F80">
        <v>-3.5</v>
      </c>
      <c r="G80">
        <v>9</v>
      </c>
      <c r="H80">
        <v>100</v>
      </c>
      <c r="I80" t="s">
        <v>486</v>
      </c>
      <c r="J80" s="6">
        <v>45108</v>
      </c>
      <c r="K80" s="1">
        <v>45120</v>
      </c>
      <c r="L80" t="str">
        <f>INDEX(league_players!C:C,MATCH($A80,league_players!$A:$A,0))</f>
        <v>Julien</v>
      </c>
      <c r="M80" t="str">
        <f>INDEX(league_players!D:D,MATCH($A80,league_players!$A:$A,0))</f>
        <v>Blain</v>
      </c>
      <c r="N80" s="1">
        <v>45119</v>
      </c>
      <c r="O80" s="1">
        <f t="shared" si="1"/>
        <v>45121</v>
      </c>
    </row>
    <row r="81" spans="1:15" x14ac:dyDescent="0.2">
      <c r="A81" s="3" t="s">
        <v>312</v>
      </c>
      <c r="B81">
        <v>13</v>
      </c>
      <c r="C81">
        <v>-5</v>
      </c>
      <c r="D81">
        <v>68</v>
      </c>
      <c r="E81">
        <v>81</v>
      </c>
      <c r="F81">
        <v>-2.5</v>
      </c>
      <c r="G81">
        <v>10.5</v>
      </c>
      <c r="H81">
        <v>85</v>
      </c>
      <c r="I81" t="s">
        <v>486</v>
      </c>
      <c r="J81" s="6">
        <v>45108</v>
      </c>
      <c r="K81" s="1">
        <v>45120</v>
      </c>
      <c r="L81" t="str">
        <f>INDEX(league_players!C:C,MATCH($A81,league_players!$A:$A,0))</f>
        <v>Remco</v>
      </c>
      <c r="M81" t="str">
        <f>INDEX(league_players!D:D,MATCH($A81,league_players!$A:$A,0))</f>
        <v>Schenk</v>
      </c>
      <c r="N81" s="1">
        <v>45119</v>
      </c>
      <c r="O81" s="1">
        <f t="shared" si="1"/>
        <v>45121</v>
      </c>
    </row>
    <row r="82" spans="1:15" x14ac:dyDescent="0.2">
      <c r="A82" t="s">
        <v>363</v>
      </c>
      <c r="B82">
        <v>14</v>
      </c>
      <c r="C82">
        <v>-5</v>
      </c>
      <c r="D82">
        <v>68</v>
      </c>
      <c r="E82">
        <v>82</v>
      </c>
      <c r="F82">
        <v>-2.5</v>
      </c>
      <c r="G82">
        <v>11.5</v>
      </c>
      <c r="H82">
        <v>85</v>
      </c>
      <c r="I82" t="s">
        <v>486</v>
      </c>
      <c r="J82" s="6">
        <v>45108</v>
      </c>
      <c r="K82" s="1">
        <v>45120</v>
      </c>
      <c r="L82" t="str">
        <f>INDEX(league_players!C:C,MATCH($A82,league_players!$A:$A,0))</f>
        <v>Stephen</v>
      </c>
      <c r="M82" t="str">
        <f>INDEX(league_players!D:D,MATCH($A82,league_players!$A:$A,0))</f>
        <v>Woodrow</v>
      </c>
      <c r="N82" s="1">
        <v>45119</v>
      </c>
      <c r="O82" s="1">
        <f t="shared" si="1"/>
        <v>45121</v>
      </c>
    </row>
    <row r="83" spans="1:15" x14ac:dyDescent="0.2">
      <c r="A83" t="s">
        <v>264</v>
      </c>
      <c r="B83">
        <v>6</v>
      </c>
      <c r="C83">
        <v>6</v>
      </c>
      <c r="D83">
        <v>79</v>
      </c>
      <c r="E83">
        <v>85</v>
      </c>
      <c r="F83">
        <v>1</v>
      </c>
      <c r="G83">
        <v>7</v>
      </c>
      <c r="H83">
        <v>5</v>
      </c>
      <c r="I83" t="s">
        <v>487</v>
      </c>
      <c r="J83" s="6">
        <v>45108</v>
      </c>
      <c r="K83" s="1">
        <v>45120</v>
      </c>
      <c r="L83" t="str">
        <f>INDEX(league_players!C:C,MATCH($A83,league_players!$A:$A,0))</f>
        <v>MeiZhen</v>
      </c>
      <c r="M83" t="str">
        <f>INDEX(league_players!D:D,MATCH($A83,league_players!$A:$A,0))</f>
        <v>Wang</v>
      </c>
      <c r="N83" s="1">
        <v>45119</v>
      </c>
      <c r="O83" s="1">
        <f t="shared" si="1"/>
        <v>45121</v>
      </c>
    </row>
    <row r="84" spans="1:15" x14ac:dyDescent="0.2">
      <c r="A84" t="s">
        <v>226</v>
      </c>
      <c r="B84">
        <v>13</v>
      </c>
      <c r="C84">
        <v>3</v>
      </c>
      <c r="D84">
        <v>76</v>
      </c>
      <c r="E84">
        <v>89</v>
      </c>
      <c r="F84">
        <v>1</v>
      </c>
      <c r="G84">
        <v>14</v>
      </c>
      <c r="H84">
        <v>55</v>
      </c>
      <c r="I84" t="s">
        <v>486</v>
      </c>
      <c r="J84" s="6">
        <v>45108</v>
      </c>
      <c r="K84" s="1">
        <v>45120</v>
      </c>
      <c r="L84" t="str">
        <f>INDEX(league_players!C:C,MATCH($A84,league_players!$A:$A,0))</f>
        <v>Kenneth</v>
      </c>
      <c r="M84" t="str">
        <f>INDEX(league_players!D:D,MATCH($A84,league_players!$A:$A,0))</f>
        <v>Cheung</v>
      </c>
      <c r="N84" s="1">
        <v>45119</v>
      </c>
      <c r="O84" s="1">
        <f t="shared" si="1"/>
        <v>45121</v>
      </c>
    </row>
    <row r="85" spans="1:15" x14ac:dyDescent="0.2">
      <c r="A85" t="s">
        <v>248</v>
      </c>
      <c r="B85">
        <v>12</v>
      </c>
      <c r="C85">
        <v>6</v>
      </c>
      <c r="D85">
        <v>79</v>
      </c>
      <c r="E85">
        <v>91</v>
      </c>
      <c r="F85">
        <v>1</v>
      </c>
      <c r="G85">
        <v>13</v>
      </c>
      <c r="H85">
        <v>20</v>
      </c>
      <c r="I85" t="s">
        <v>486</v>
      </c>
      <c r="J85" s="6">
        <v>45108</v>
      </c>
      <c r="K85" s="1">
        <v>45120</v>
      </c>
      <c r="L85" t="str">
        <f>INDEX(league_players!C:C,MATCH($A85,league_players!$A:$A,0))</f>
        <v>Marc</v>
      </c>
      <c r="M85" t="str">
        <f>INDEX(league_players!D:D,MATCH($A85,league_players!$A:$A,0))</f>
        <v>Westgate</v>
      </c>
      <c r="N85" s="1">
        <v>45119</v>
      </c>
      <c r="O85" s="1">
        <f t="shared" si="1"/>
        <v>45121</v>
      </c>
    </row>
    <row r="86" spans="1:15" x14ac:dyDescent="0.2">
      <c r="A86" t="s">
        <v>77</v>
      </c>
      <c r="B86">
        <v>13.5</v>
      </c>
      <c r="C86">
        <v>5</v>
      </c>
      <c r="D86">
        <v>78</v>
      </c>
      <c r="E86">
        <v>92</v>
      </c>
      <c r="F86">
        <v>1</v>
      </c>
      <c r="G86">
        <v>14.5</v>
      </c>
      <c r="H86">
        <v>30</v>
      </c>
      <c r="I86" t="s">
        <v>486</v>
      </c>
      <c r="J86" s="6">
        <v>45108</v>
      </c>
      <c r="K86" s="1">
        <v>45120</v>
      </c>
      <c r="L86" t="str">
        <f>INDEX(league_players!C:C,MATCH($A86,league_players!$A:$A,0))</f>
        <v>Chris</v>
      </c>
      <c r="M86" t="str">
        <f>INDEX(league_players!D:D,MATCH($A86,league_players!$A:$A,0))</f>
        <v>Dunham</v>
      </c>
      <c r="N86" s="1">
        <v>45119</v>
      </c>
      <c r="O86" s="1">
        <f t="shared" si="1"/>
        <v>45121</v>
      </c>
    </row>
    <row r="87" spans="1:15" x14ac:dyDescent="0.2">
      <c r="A87" t="s">
        <v>36</v>
      </c>
      <c r="B87">
        <v>19.5</v>
      </c>
      <c r="C87">
        <v>4</v>
      </c>
      <c r="D87">
        <v>77</v>
      </c>
      <c r="E87">
        <v>97</v>
      </c>
      <c r="F87">
        <v>1</v>
      </c>
      <c r="G87">
        <v>20.5</v>
      </c>
      <c r="H87">
        <v>40</v>
      </c>
      <c r="I87" t="s">
        <v>486</v>
      </c>
      <c r="J87" s="6">
        <v>45108</v>
      </c>
      <c r="K87" s="1">
        <v>45120</v>
      </c>
      <c r="L87" t="str">
        <f>INDEX(league_players!C:C,MATCH($A87,league_players!$A:$A,0))</f>
        <v>Andre</v>
      </c>
      <c r="M87" t="str">
        <f>INDEX(league_players!D:D,MATCH($A87,league_players!$A:$A,0))</f>
        <v>Gruber</v>
      </c>
      <c r="N87" s="1">
        <v>45119</v>
      </c>
      <c r="O87" s="1">
        <f t="shared" si="1"/>
        <v>45121</v>
      </c>
    </row>
    <row r="88" spans="1:15" x14ac:dyDescent="0.2">
      <c r="A88" t="s">
        <v>318</v>
      </c>
      <c r="B88">
        <v>21</v>
      </c>
      <c r="C88">
        <v>3</v>
      </c>
      <c r="D88">
        <v>76</v>
      </c>
      <c r="E88">
        <v>97</v>
      </c>
      <c r="F88">
        <v>1</v>
      </c>
      <c r="G88">
        <v>22</v>
      </c>
      <c r="H88">
        <v>55</v>
      </c>
      <c r="I88" t="s">
        <v>486</v>
      </c>
      <c r="J88" s="6">
        <v>45108</v>
      </c>
      <c r="K88" s="1">
        <v>45120</v>
      </c>
      <c r="L88" t="str">
        <f>INDEX(league_players!C:C,MATCH($A88,league_players!$A:$A,0))</f>
        <v>Richard</v>
      </c>
      <c r="M88" t="str">
        <f>INDEX(league_players!D:D,MATCH($A88,league_players!$A:$A,0))</f>
        <v>Cogswell</v>
      </c>
      <c r="N88" s="1">
        <v>45119</v>
      </c>
      <c r="O88" s="1">
        <f t="shared" si="1"/>
        <v>45121</v>
      </c>
    </row>
    <row r="89" spans="1:15" x14ac:dyDescent="0.2">
      <c r="A89" t="s">
        <v>102</v>
      </c>
      <c r="B89">
        <v>25</v>
      </c>
      <c r="C89">
        <v>1</v>
      </c>
      <c r="D89">
        <v>74</v>
      </c>
      <c r="E89">
        <v>99</v>
      </c>
      <c r="F89">
        <v>0</v>
      </c>
      <c r="G89">
        <v>25</v>
      </c>
      <c r="H89">
        <v>70</v>
      </c>
      <c r="I89" t="s">
        <v>486</v>
      </c>
      <c r="J89" s="6">
        <v>45108</v>
      </c>
      <c r="K89" s="1">
        <v>45120</v>
      </c>
      <c r="L89" t="str">
        <f>INDEX(league_players!C:C,MATCH($A89,league_players!$A:$A,0))</f>
        <v>Darren</v>
      </c>
      <c r="M89" t="str">
        <f>INDEX(league_players!D:D,MATCH($A89,league_players!$A:$A,0))</f>
        <v>Measures</v>
      </c>
      <c r="N89" s="1">
        <v>45119</v>
      </c>
      <c r="O89" s="1">
        <f t="shared" si="1"/>
        <v>45121</v>
      </c>
    </row>
    <row r="90" spans="1:15" x14ac:dyDescent="0.2">
      <c r="A90" t="s">
        <v>213</v>
      </c>
      <c r="B90">
        <v>23</v>
      </c>
      <c r="C90">
        <v>6</v>
      </c>
      <c r="D90">
        <v>79</v>
      </c>
      <c r="E90">
        <v>102</v>
      </c>
      <c r="F90">
        <v>1</v>
      </c>
      <c r="G90">
        <v>24</v>
      </c>
      <c r="H90">
        <v>5</v>
      </c>
      <c r="I90" t="s">
        <v>487</v>
      </c>
      <c r="J90" s="6">
        <v>45108</v>
      </c>
      <c r="K90" s="1">
        <v>45120</v>
      </c>
      <c r="L90" t="str">
        <f>INDEX(league_players!C:C,MATCH($A90,league_players!$A:$A,0))</f>
        <v>Justin</v>
      </c>
      <c r="M90" t="str">
        <f>INDEX(league_players!D:D,MATCH($A90,league_players!$A:$A,0))</f>
        <v>Morrison</v>
      </c>
      <c r="N90" s="1">
        <v>45119</v>
      </c>
      <c r="O90" s="1">
        <f t="shared" si="1"/>
        <v>45121</v>
      </c>
    </row>
    <row r="91" spans="1:15" x14ac:dyDescent="0.2">
      <c r="A91" t="s">
        <v>116</v>
      </c>
      <c r="B91">
        <v>23</v>
      </c>
      <c r="C91">
        <v>7</v>
      </c>
      <c r="D91">
        <v>80</v>
      </c>
      <c r="E91">
        <v>103</v>
      </c>
      <c r="F91">
        <v>1</v>
      </c>
      <c r="G91">
        <v>24</v>
      </c>
      <c r="H91">
        <v>10</v>
      </c>
      <c r="I91" t="s">
        <v>486</v>
      </c>
      <c r="J91" s="6">
        <v>45108</v>
      </c>
      <c r="K91" s="1">
        <v>45120</v>
      </c>
      <c r="L91" t="str">
        <f>INDEX(league_players!C:C,MATCH($A91,league_players!$A:$A,0))</f>
        <v>Donough</v>
      </c>
      <c r="M91" t="str">
        <f>INDEX(league_players!D:D,MATCH($A91,league_players!$A:$A,0))</f>
        <v>Murphy</v>
      </c>
      <c r="N91" s="1">
        <v>45119</v>
      </c>
      <c r="O91" s="1">
        <f t="shared" si="1"/>
        <v>45121</v>
      </c>
    </row>
    <row r="92" spans="1:15" x14ac:dyDescent="0.2">
      <c r="A92" t="s">
        <v>195</v>
      </c>
      <c r="B92">
        <v>-1.5</v>
      </c>
      <c r="C92">
        <v>0</v>
      </c>
      <c r="D92">
        <v>72</v>
      </c>
      <c r="E92">
        <v>70</v>
      </c>
      <c r="F92">
        <v>0</v>
      </c>
      <c r="G92">
        <v>-1.5</v>
      </c>
      <c r="H92">
        <v>35</v>
      </c>
      <c r="I92" t="s">
        <v>486</v>
      </c>
      <c r="J92" s="6">
        <v>45139</v>
      </c>
      <c r="K92" s="1">
        <v>45141</v>
      </c>
      <c r="L92" t="str">
        <f>INDEX(league_players!C:C,MATCH($A92,league_players!$A:$A,0))</f>
        <v>John</v>
      </c>
      <c r="M92" t="str">
        <f>INDEX(league_players!D:D,MATCH($A92,league_players!$A:$A,0))</f>
        <v>Heming</v>
      </c>
      <c r="N92" s="1">
        <v>45140</v>
      </c>
      <c r="O92" s="1">
        <f t="shared" si="1"/>
        <v>45142</v>
      </c>
    </row>
    <row r="93" spans="1:15" x14ac:dyDescent="0.2">
      <c r="A93" t="s">
        <v>226</v>
      </c>
      <c r="B93">
        <v>14</v>
      </c>
      <c r="C93">
        <v>-3</v>
      </c>
      <c r="D93">
        <v>69</v>
      </c>
      <c r="E93">
        <v>83</v>
      </c>
      <c r="F93">
        <v>-1.5</v>
      </c>
      <c r="G93">
        <v>12.5</v>
      </c>
      <c r="H93">
        <v>85</v>
      </c>
      <c r="I93" t="s">
        <v>486</v>
      </c>
      <c r="J93" s="6">
        <v>45139</v>
      </c>
      <c r="K93" s="1">
        <v>45141</v>
      </c>
      <c r="L93" t="str">
        <f>INDEX(league_players!C:C,MATCH($A93,league_players!$A:$A,0))</f>
        <v>Kenneth</v>
      </c>
      <c r="M93" t="str">
        <f>INDEX(league_players!D:D,MATCH($A93,league_players!$A:$A,0))</f>
        <v>Cheung</v>
      </c>
      <c r="N93" s="1">
        <v>45140</v>
      </c>
      <c r="O93" s="1">
        <f t="shared" si="1"/>
        <v>45142</v>
      </c>
    </row>
    <row r="94" spans="1:15" x14ac:dyDescent="0.2">
      <c r="A94" t="s">
        <v>248</v>
      </c>
      <c r="B94">
        <v>13</v>
      </c>
      <c r="C94">
        <v>0</v>
      </c>
      <c r="D94">
        <v>72</v>
      </c>
      <c r="E94">
        <v>85</v>
      </c>
      <c r="F94">
        <v>0</v>
      </c>
      <c r="G94">
        <v>13</v>
      </c>
      <c r="H94">
        <v>35</v>
      </c>
      <c r="I94" t="s">
        <v>486</v>
      </c>
      <c r="J94" s="6">
        <v>45139</v>
      </c>
      <c r="K94" s="1">
        <v>45141</v>
      </c>
      <c r="L94" t="str">
        <f>INDEX(league_players!C:C,MATCH($A94,league_players!$A:$A,0))</f>
        <v>Marc</v>
      </c>
      <c r="M94" t="str">
        <f>INDEX(league_players!D:D,MATCH($A94,league_players!$A:$A,0))</f>
        <v>Westgate</v>
      </c>
      <c r="N94" s="1">
        <v>45140</v>
      </c>
      <c r="O94" s="1">
        <f t="shared" si="1"/>
        <v>45142</v>
      </c>
    </row>
    <row r="95" spans="1:15" x14ac:dyDescent="0.2">
      <c r="A95" t="s">
        <v>274</v>
      </c>
      <c r="B95">
        <v>17.5</v>
      </c>
      <c r="C95">
        <v>-3</v>
      </c>
      <c r="D95">
        <v>69</v>
      </c>
      <c r="E95">
        <v>87</v>
      </c>
      <c r="F95">
        <v>-1.5</v>
      </c>
      <c r="G95">
        <v>16</v>
      </c>
      <c r="H95">
        <v>85</v>
      </c>
      <c r="I95" t="s">
        <v>486</v>
      </c>
      <c r="J95" s="6">
        <v>45139</v>
      </c>
      <c r="K95" s="1">
        <v>45141</v>
      </c>
      <c r="L95" t="str">
        <f>INDEX(league_players!C:C,MATCH($A95,league_players!$A:$A,0))</f>
        <v>Nic</v>
      </c>
      <c r="M95" t="str">
        <f>INDEX(league_players!D:D,MATCH($A95,league_players!$A:$A,0))</f>
        <v>Kopitsis</v>
      </c>
      <c r="N95" s="1">
        <v>45140</v>
      </c>
      <c r="O95" s="1">
        <f t="shared" si="1"/>
        <v>45142</v>
      </c>
    </row>
    <row r="96" spans="1:15" x14ac:dyDescent="0.2">
      <c r="A96" t="s">
        <v>280</v>
      </c>
      <c r="B96">
        <v>17.5</v>
      </c>
      <c r="C96">
        <v>-2</v>
      </c>
      <c r="D96">
        <v>70</v>
      </c>
      <c r="E96">
        <v>88</v>
      </c>
      <c r="F96">
        <v>-1</v>
      </c>
      <c r="G96">
        <v>16.5</v>
      </c>
      <c r="H96">
        <v>65</v>
      </c>
      <c r="I96" t="s">
        <v>486</v>
      </c>
      <c r="J96" s="6">
        <v>45139</v>
      </c>
      <c r="K96" s="1">
        <v>45141</v>
      </c>
      <c r="L96" t="str">
        <f>INDEX(league_players!C:C,MATCH($A96,league_players!$A:$A,0))</f>
        <v>Nick</v>
      </c>
      <c r="M96" t="str">
        <f>INDEX(league_players!D:D,MATCH($A96,league_players!$A:$A,0))</f>
        <v>Waite</v>
      </c>
      <c r="N96" s="1">
        <v>45140</v>
      </c>
      <c r="O96" s="1">
        <f t="shared" si="1"/>
        <v>45142</v>
      </c>
    </row>
    <row r="97" spans="1:15" x14ac:dyDescent="0.2">
      <c r="A97" t="s">
        <v>318</v>
      </c>
      <c r="B97">
        <v>22</v>
      </c>
      <c r="C97">
        <v>-6</v>
      </c>
      <c r="D97">
        <v>66</v>
      </c>
      <c r="E97">
        <v>88</v>
      </c>
      <c r="F97">
        <v>-3</v>
      </c>
      <c r="G97">
        <v>19</v>
      </c>
      <c r="H97">
        <v>100</v>
      </c>
      <c r="I97" t="s">
        <v>486</v>
      </c>
      <c r="J97" s="6">
        <v>45139</v>
      </c>
      <c r="K97" s="1">
        <v>45141</v>
      </c>
      <c r="L97" t="str">
        <f>INDEX(league_players!C:C,MATCH($A97,league_players!$A:$A,0))</f>
        <v>Richard</v>
      </c>
      <c r="M97" t="str">
        <f>INDEX(league_players!D:D,MATCH($A97,league_players!$A:$A,0))</f>
        <v>Cogswell</v>
      </c>
      <c r="N97" s="1">
        <v>45140</v>
      </c>
      <c r="O97" s="1">
        <f t="shared" si="1"/>
        <v>45142</v>
      </c>
    </row>
    <row r="98" spans="1:15" x14ac:dyDescent="0.2">
      <c r="A98" t="s">
        <v>327</v>
      </c>
      <c r="B98">
        <v>15</v>
      </c>
      <c r="C98">
        <v>2</v>
      </c>
      <c r="D98">
        <v>74</v>
      </c>
      <c r="E98">
        <v>89</v>
      </c>
      <c r="F98">
        <v>1</v>
      </c>
      <c r="G98">
        <v>16</v>
      </c>
      <c r="H98">
        <v>10</v>
      </c>
      <c r="I98" t="s">
        <v>486</v>
      </c>
      <c r="J98" s="6">
        <v>45139</v>
      </c>
      <c r="K98" s="1">
        <v>45141</v>
      </c>
      <c r="L98" t="str">
        <f>INDEX(league_players!C:C,MATCH($A98,league_players!$A:$A,0))</f>
        <v>Ryan</v>
      </c>
      <c r="M98" t="str">
        <f>INDEX(league_players!D:D,MATCH($A98,league_players!$A:$A,0))</f>
        <v>Neebe</v>
      </c>
      <c r="N98" s="1">
        <v>45140</v>
      </c>
      <c r="O98" s="1">
        <f t="shared" si="1"/>
        <v>45142</v>
      </c>
    </row>
    <row r="99" spans="1:15" x14ac:dyDescent="0.2">
      <c r="A99" t="s">
        <v>96</v>
      </c>
      <c r="B99">
        <v>21</v>
      </c>
      <c r="C99">
        <v>-2</v>
      </c>
      <c r="D99">
        <v>70</v>
      </c>
      <c r="E99">
        <v>91</v>
      </c>
      <c r="F99">
        <v>-1</v>
      </c>
      <c r="G99">
        <v>20</v>
      </c>
      <c r="H99">
        <v>65</v>
      </c>
      <c r="I99" t="s">
        <v>486</v>
      </c>
      <c r="J99" s="6">
        <v>45139</v>
      </c>
      <c r="K99" s="1">
        <v>45141</v>
      </c>
      <c r="L99" t="str">
        <f>INDEX(league_players!C:C,MATCH($A99,league_players!$A:$A,0))</f>
        <v>Daniel</v>
      </c>
      <c r="M99" t="str">
        <f>INDEX(league_players!D:D,MATCH($A99,league_players!$A:$A,0))</f>
        <v>Lawrence</v>
      </c>
      <c r="N99" s="1">
        <v>45140</v>
      </c>
      <c r="O99" s="1">
        <f t="shared" si="1"/>
        <v>45142</v>
      </c>
    </row>
    <row r="100" spans="1:15" x14ac:dyDescent="0.2">
      <c r="A100" t="s">
        <v>128</v>
      </c>
      <c r="B100">
        <v>13</v>
      </c>
      <c r="C100">
        <v>6</v>
      </c>
      <c r="D100">
        <v>78</v>
      </c>
      <c r="E100">
        <v>91</v>
      </c>
      <c r="F100">
        <v>1</v>
      </c>
      <c r="G100">
        <v>14</v>
      </c>
      <c r="H100">
        <v>5</v>
      </c>
      <c r="I100" t="s">
        <v>486</v>
      </c>
      <c r="J100" s="6">
        <v>45139</v>
      </c>
      <c r="K100" s="1">
        <v>45141</v>
      </c>
      <c r="L100" t="str">
        <f>INDEX(league_players!C:C,MATCH($A100,league_players!$A:$A,0))</f>
        <v>Florian</v>
      </c>
      <c r="M100" t="str">
        <f>INDEX(league_players!D:D,MATCH($A100,league_players!$A:$A,0))</f>
        <v>Dumas</v>
      </c>
      <c r="N100" s="1">
        <v>45140</v>
      </c>
      <c r="O100" s="1">
        <f t="shared" si="1"/>
        <v>45142</v>
      </c>
    </row>
    <row r="101" spans="1:15" x14ac:dyDescent="0.2">
      <c r="A101" t="s">
        <v>38</v>
      </c>
      <c r="B101">
        <v>16</v>
      </c>
      <c r="C101">
        <v>8</v>
      </c>
      <c r="D101">
        <v>80</v>
      </c>
      <c r="E101">
        <v>96</v>
      </c>
      <c r="F101">
        <v>1</v>
      </c>
      <c r="G101">
        <v>17</v>
      </c>
      <c r="H101">
        <v>5</v>
      </c>
      <c r="I101" t="s">
        <v>486</v>
      </c>
      <c r="J101" s="6">
        <v>45139</v>
      </c>
      <c r="K101" s="1">
        <v>45141</v>
      </c>
      <c r="L101" t="str">
        <f>INDEX(league_players!C:C,MATCH($A101,league_players!$A:$A,0))</f>
        <v>Andrea</v>
      </c>
      <c r="M101" t="str">
        <f>INDEX(league_players!D:D,MATCH($A101,league_players!$A:$A,0))</f>
        <v>Sbalchiero</v>
      </c>
      <c r="N101" s="1">
        <v>45140</v>
      </c>
      <c r="O101" s="1">
        <f t="shared" si="1"/>
        <v>45142</v>
      </c>
    </row>
    <row r="102" spans="1:15" x14ac:dyDescent="0.2">
      <c r="A102" t="s">
        <v>460</v>
      </c>
      <c r="B102">
        <v>23.5</v>
      </c>
      <c r="C102">
        <v>1</v>
      </c>
      <c r="D102">
        <v>73</v>
      </c>
      <c r="E102">
        <v>97</v>
      </c>
      <c r="F102">
        <v>1</v>
      </c>
      <c r="G102">
        <v>24.5</v>
      </c>
      <c r="H102">
        <v>20</v>
      </c>
      <c r="I102" t="s">
        <v>486</v>
      </c>
      <c r="J102" s="6">
        <v>45139</v>
      </c>
      <c r="K102" s="1">
        <v>45141</v>
      </c>
      <c r="L102" t="str">
        <f>INDEX(league_players!C:C,MATCH($A102,league_players!$A:$A,0))</f>
        <v>Simon</v>
      </c>
      <c r="M102" t="str">
        <f>INDEX(league_players!D:D,MATCH($A102,league_players!$A:$A,0))</f>
        <v>Van Dijk</v>
      </c>
      <c r="N102" s="1">
        <v>45140</v>
      </c>
      <c r="O102" s="1">
        <f t="shared" si="1"/>
        <v>45142</v>
      </c>
    </row>
    <row r="103" spans="1:15" x14ac:dyDescent="0.2">
      <c r="A103" t="s">
        <v>4</v>
      </c>
      <c r="B103">
        <v>19</v>
      </c>
      <c r="C103">
        <v>7</v>
      </c>
      <c r="D103">
        <v>79</v>
      </c>
      <c r="E103">
        <v>98</v>
      </c>
      <c r="F103">
        <v>1</v>
      </c>
      <c r="G103">
        <v>20</v>
      </c>
      <c r="H103">
        <v>5</v>
      </c>
      <c r="I103" t="s">
        <v>486</v>
      </c>
      <c r="J103" s="6">
        <v>45139</v>
      </c>
      <c r="K103" s="1">
        <v>45141</v>
      </c>
      <c r="L103" t="str">
        <f>INDEX(league_players!C:C,MATCH($A103,league_players!$A:$A,0))</f>
        <v>Edward</v>
      </c>
      <c r="M103" t="str">
        <f>INDEX(league_players!D:D,MATCH($A103,league_players!$A:$A,0))</f>
        <v>Mills</v>
      </c>
      <c r="N103" s="1">
        <v>45140</v>
      </c>
      <c r="O103" s="1">
        <f t="shared" si="1"/>
        <v>45142</v>
      </c>
    </row>
    <row r="104" spans="1:15" x14ac:dyDescent="0.2">
      <c r="A104" t="s">
        <v>182</v>
      </c>
      <c r="B104">
        <v>21.5</v>
      </c>
      <c r="C104">
        <v>5</v>
      </c>
      <c r="D104">
        <v>77</v>
      </c>
      <c r="E104">
        <v>99</v>
      </c>
      <c r="F104">
        <v>1</v>
      </c>
      <c r="G104">
        <v>22.5</v>
      </c>
      <c r="H104">
        <v>5</v>
      </c>
      <c r="I104" t="s">
        <v>486</v>
      </c>
      <c r="J104" s="6">
        <v>45139</v>
      </c>
      <c r="K104" s="1">
        <v>45141</v>
      </c>
      <c r="L104" t="str">
        <f>INDEX(league_players!C:C,MATCH($A104,league_players!$A:$A,0))</f>
        <v>Jason</v>
      </c>
      <c r="M104" t="str">
        <f>INDEX(league_players!D:D,MATCH($A104,league_players!$A:$A,0))</f>
        <v>Pae</v>
      </c>
      <c r="N104" s="1">
        <v>45140</v>
      </c>
      <c r="O104" s="1">
        <f t="shared" si="1"/>
        <v>45142</v>
      </c>
    </row>
    <row r="105" spans="1:15" x14ac:dyDescent="0.2">
      <c r="A105" t="s">
        <v>102</v>
      </c>
      <c r="B105">
        <v>25</v>
      </c>
      <c r="C105">
        <v>5</v>
      </c>
      <c r="D105">
        <v>77</v>
      </c>
      <c r="E105">
        <v>102</v>
      </c>
      <c r="F105">
        <v>0</v>
      </c>
      <c r="G105">
        <v>25</v>
      </c>
      <c r="H105">
        <v>5</v>
      </c>
      <c r="I105" t="s">
        <v>486</v>
      </c>
      <c r="J105" s="6">
        <v>45139</v>
      </c>
      <c r="K105" s="1">
        <v>45141</v>
      </c>
      <c r="L105" t="str">
        <f>INDEX(league_players!C:C,MATCH($A105,league_players!$A:$A,0))</f>
        <v>Darren</v>
      </c>
      <c r="M105" t="str">
        <f>INDEX(league_players!D:D,MATCH($A105,league_players!$A:$A,0))</f>
        <v>Measures</v>
      </c>
      <c r="N105" s="1">
        <v>45140</v>
      </c>
      <c r="O105" s="1">
        <f t="shared" si="1"/>
        <v>45142</v>
      </c>
    </row>
    <row r="106" spans="1:15" x14ac:dyDescent="0.2">
      <c r="A106" t="s">
        <v>10</v>
      </c>
      <c r="B106">
        <v>21</v>
      </c>
      <c r="C106">
        <v>9</v>
      </c>
      <c r="D106">
        <v>81</v>
      </c>
      <c r="E106">
        <v>102</v>
      </c>
      <c r="F106">
        <v>1</v>
      </c>
      <c r="G106">
        <v>22</v>
      </c>
      <c r="H106">
        <v>5</v>
      </c>
      <c r="I106" t="s">
        <v>487</v>
      </c>
      <c r="J106" s="6">
        <v>45139</v>
      </c>
      <c r="K106" s="1">
        <v>45141</v>
      </c>
      <c r="L106" t="str">
        <f>INDEX(league_players!C:C,MATCH($A106,league_players!$A:$A,0))</f>
        <v>James</v>
      </c>
      <c r="M106" t="str">
        <f>INDEX(league_players!D:D,MATCH($A106,league_players!$A:$A,0))</f>
        <v>Craik</v>
      </c>
      <c r="N106" s="1">
        <v>45140</v>
      </c>
      <c r="O106" s="1">
        <f t="shared" si="1"/>
        <v>45142</v>
      </c>
    </row>
    <row r="107" spans="1:15" x14ac:dyDescent="0.2">
      <c r="A107" t="s">
        <v>367</v>
      </c>
      <c r="B107">
        <v>23</v>
      </c>
      <c r="C107">
        <v>7</v>
      </c>
      <c r="D107">
        <v>79</v>
      </c>
      <c r="E107">
        <v>102</v>
      </c>
      <c r="F107">
        <v>1</v>
      </c>
      <c r="G107">
        <v>24</v>
      </c>
      <c r="H107">
        <v>5</v>
      </c>
      <c r="I107" t="s">
        <v>486</v>
      </c>
      <c r="J107" s="6">
        <v>45139</v>
      </c>
      <c r="K107" s="1">
        <v>45141</v>
      </c>
      <c r="L107" t="str">
        <f>INDEX(league_players!C:C,MATCH($A107,league_players!$A:$A,0))</f>
        <v>Steve</v>
      </c>
      <c r="M107" t="str">
        <f>INDEX(league_players!D:D,MATCH($A107,league_players!$A:$A,0))</f>
        <v>McCole</v>
      </c>
      <c r="N107" s="1">
        <v>45140</v>
      </c>
      <c r="O107" s="1">
        <f t="shared" si="1"/>
        <v>45142</v>
      </c>
    </row>
    <row r="108" spans="1:15" x14ac:dyDescent="0.2">
      <c r="A108" t="s">
        <v>310</v>
      </c>
      <c r="B108">
        <v>25</v>
      </c>
      <c r="C108">
        <v>6</v>
      </c>
      <c r="D108">
        <v>78</v>
      </c>
      <c r="E108">
        <v>103</v>
      </c>
      <c r="F108">
        <v>0</v>
      </c>
      <c r="G108">
        <v>25</v>
      </c>
      <c r="H108">
        <v>5</v>
      </c>
      <c r="I108" t="s">
        <v>486</v>
      </c>
      <c r="J108" s="6">
        <v>45139</v>
      </c>
      <c r="K108" s="1">
        <v>45141</v>
      </c>
      <c r="L108" t="str">
        <f>INDEX(league_players!C:C,MATCH($A108,league_players!$A:$A,0))</f>
        <v>Rana</v>
      </c>
      <c r="M108" t="str">
        <f>INDEX(league_players!D:D,MATCH($A108,league_players!$A:$A,0))</f>
        <v>Datta</v>
      </c>
      <c r="N108" s="1">
        <v>45140</v>
      </c>
      <c r="O108" s="1">
        <f t="shared" si="1"/>
        <v>45142</v>
      </c>
    </row>
    <row r="109" spans="1:15" x14ac:dyDescent="0.2">
      <c r="A109" t="s">
        <v>110</v>
      </c>
      <c r="B109">
        <v>24</v>
      </c>
      <c r="C109">
        <v>11</v>
      </c>
      <c r="D109">
        <v>83</v>
      </c>
      <c r="E109">
        <v>107</v>
      </c>
      <c r="F109">
        <v>1</v>
      </c>
      <c r="G109">
        <v>25</v>
      </c>
      <c r="H109">
        <v>5</v>
      </c>
      <c r="I109" t="s">
        <v>487</v>
      </c>
      <c r="J109" s="6">
        <v>45139</v>
      </c>
      <c r="K109" s="1">
        <v>45141</v>
      </c>
      <c r="L109" t="str">
        <f>INDEX(league_players!C:C,MATCH($A109,league_players!$A:$A,0))</f>
        <v>David</v>
      </c>
      <c r="M109" t="str">
        <f>INDEX(league_players!D:D,MATCH($A109,league_players!$A:$A,0))</f>
        <v>Yu</v>
      </c>
      <c r="N109" s="1">
        <v>45140</v>
      </c>
      <c r="O109" s="1">
        <f t="shared" si="1"/>
        <v>45142</v>
      </c>
    </row>
    <row r="110" spans="1:15" x14ac:dyDescent="0.2">
      <c r="A110" t="s">
        <v>394</v>
      </c>
      <c r="B110">
        <v>25</v>
      </c>
      <c r="C110">
        <v>14</v>
      </c>
      <c r="D110">
        <v>86</v>
      </c>
      <c r="E110">
        <v>111</v>
      </c>
      <c r="F110">
        <v>0</v>
      </c>
      <c r="G110">
        <v>25</v>
      </c>
      <c r="H110">
        <v>5</v>
      </c>
      <c r="I110" t="s">
        <v>486</v>
      </c>
      <c r="J110" s="6">
        <v>45139</v>
      </c>
      <c r="K110" s="1">
        <v>45141</v>
      </c>
      <c r="L110" t="str">
        <f>INDEX(league_players!C:C,MATCH($A110,league_players!$A:$A,0))</f>
        <v>Vishal</v>
      </c>
      <c r="M110" t="str">
        <f>INDEX(league_players!D:D,MATCH($A110,league_players!$A:$A,0))</f>
        <v>Achar</v>
      </c>
      <c r="N110" s="1">
        <v>45140</v>
      </c>
      <c r="O110" s="1">
        <f t="shared" si="1"/>
        <v>45142</v>
      </c>
    </row>
    <row r="111" spans="1:15" x14ac:dyDescent="0.2">
      <c r="A111" t="s">
        <v>268</v>
      </c>
      <c r="B111">
        <v>25</v>
      </c>
      <c r="C111">
        <v>47</v>
      </c>
      <c r="D111">
        <v>119</v>
      </c>
      <c r="E111">
        <v>144</v>
      </c>
      <c r="F111">
        <v>0</v>
      </c>
      <c r="G111">
        <v>25</v>
      </c>
      <c r="H111">
        <v>5</v>
      </c>
      <c r="I111" t="s">
        <v>486</v>
      </c>
      <c r="J111" s="6">
        <v>45139</v>
      </c>
      <c r="K111" s="1">
        <v>45141</v>
      </c>
      <c r="L111" t="str">
        <f>INDEX(league_players!C:C,MATCH($A111,league_players!$A:$A,0))</f>
        <v>Mike</v>
      </c>
      <c r="M111" t="str">
        <f>INDEX(league_players!D:D,MATCH($A111,league_players!$A:$A,0))</f>
        <v>Pareles</v>
      </c>
      <c r="N111" s="1">
        <v>45140</v>
      </c>
      <c r="O111" s="1">
        <f t="shared" si="1"/>
        <v>45142</v>
      </c>
    </row>
    <row r="112" spans="1:15" x14ac:dyDescent="0.2">
      <c r="A112" t="s">
        <v>361</v>
      </c>
      <c r="B112">
        <v>27</v>
      </c>
      <c r="C112">
        <v>-1</v>
      </c>
      <c r="D112">
        <v>71</v>
      </c>
      <c r="E112">
        <v>98</v>
      </c>
      <c r="F112">
        <v>-0.5</v>
      </c>
      <c r="G112">
        <v>26.5</v>
      </c>
      <c r="H112">
        <v>50</v>
      </c>
      <c r="I112" t="s">
        <v>486</v>
      </c>
      <c r="J112" s="6">
        <v>45139</v>
      </c>
      <c r="K112" s="1">
        <v>45141</v>
      </c>
      <c r="L112" t="str">
        <f>INDEX(league_players!C:C,MATCH($A112,league_players!$A:$A,0))</f>
        <v>Sophie</v>
      </c>
      <c r="M112" t="str">
        <f>INDEX(league_players!D:D,MATCH($A112,league_players!$A:$A,0))</f>
        <v>Yeung</v>
      </c>
      <c r="N112" s="1">
        <v>45140</v>
      </c>
      <c r="O112" s="1">
        <f t="shared" si="1"/>
        <v>45142</v>
      </c>
    </row>
    <row r="113" spans="1:15" x14ac:dyDescent="0.2">
      <c r="A113" s="3" t="s">
        <v>195</v>
      </c>
      <c r="B113">
        <v>-1.5</v>
      </c>
      <c r="C113">
        <v>1</v>
      </c>
      <c r="D113">
        <v>70</v>
      </c>
      <c r="E113">
        <v>68</v>
      </c>
      <c r="F113">
        <v>1</v>
      </c>
      <c r="G113">
        <v>-0.5</v>
      </c>
      <c r="H113">
        <v>60</v>
      </c>
      <c r="I113" t="s">
        <v>486</v>
      </c>
      <c r="J113" s="6">
        <v>45170</v>
      </c>
      <c r="K113" s="1">
        <v>45183</v>
      </c>
      <c r="L113" t="str">
        <f>INDEX(league_players!C:C,MATCH($A113,league_players!$A:$A,0))</f>
        <v>John</v>
      </c>
      <c r="M113" t="str">
        <f>INDEX(league_players!D:D,MATCH($A113,league_players!$A:$A,0))</f>
        <v>Heming</v>
      </c>
      <c r="N113" s="1">
        <v>45182</v>
      </c>
      <c r="O113" s="1">
        <f t="shared" si="1"/>
        <v>45184</v>
      </c>
    </row>
    <row r="114" spans="1:15" x14ac:dyDescent="0.2">
      <c r="A114" t="s">
        <v>163</v>
      </c>
      <c r="B114">
        <v>9.5</v>
      </c>
      <c r="C114">
        <v>-1</v>
      </c>
      <c r="D114">
        <v>68</v>
      </c>
      <c r="E114">
        <v>78</v>
      </c>
      <c r="F114">
        <v>-0.5</v>
      </c>
      <c r="G114">
        <v>9</v>
      </c>
      <c r="H114">
        <v>80</v>
      </c>
      <c r="I114" t="s">
        <v>486</v>
      </c>
      <c r="J114" s="6">
        <v>45170</v>
      </c>
      <c r="K114" s="1">
        <v>45183</v>
      </c>
      <c r="L114" t="str">
        <f>INDEX(league_players!C:C,MATCH($A114,league_players!$A:$A,0))</f>
        <v>Ian</v>
      </c>
      <c r="M114" t="str">
        <f>INDEX(league_players!D:D,MATCH($A114,league_players!$A:$A,0))</f>
        <v>Bowden</v>
      </c>
      <c r="N114" s="1">
        <v>45182</v>
      </c>
      <c r="O114" s="1">
        <f t="shared" si="1"/>
        <v>45184</v>
      </c>
    </row>
    <row r="115" spans="1:15" x14ac:dyDescent="0.2">
      <c r="A115" t="s">
        <v>312</v>
      </c>
      <c r="B115">
        <v>10.5</v>
      </c>
      <c r="C115">
        <v>-2</v>
      </c>
      <c r="D115">
        <v>67</v>
      </c>
      <c r="E115">
        <v>78</v>
      </c>
      <c r="F115">
        <v>-1</v>
      </c>
      <c r="G115">
        <v>9.5</v>
      </c>
      <c r="H115">
        <v>90</v>
      </c>
      <c r="I115" t="s">
        <v>486</v>
      </c>
      <c r="J115" s="6">
        <v>45170</v>
      </c>
      <c r="K115" s="1">
        <v>45183</v>
      </c>
      <c r="L115" t="str">
        <f>INDEX(league_players!C:C,MATCH($A115,league_players!$A:$A,0))</f>
        <v>Remco</v>
      </c>
      <c r="M115" t="str">
        <f>INDEX(league_players!D:D,MATCH($A115,league_players!$A:$A,0))</f>
        <v>Schenk</v>
      </c>
      <c r="N115" s="1">
        <v>45182</v>
      </c>
      <c r="O115" s="1">
        <f t="shared" si="1"/>
        <v>45184</v>
      </c>
    </row>
    <row r="116" spans="1:15" x14ac:dyDescent="0.2">
      <c r="A116" t="s">
        <v>327</v>
      </c>
      <c r="B116">
        <v>16</v>
      </c>
      <c r="C116">
        <v>1</v>
      </c>
      <c r="D116">
        <v>70</v>
      </c>
      <c r="E116">
        <v>86</v>
      </c>
      <c r="F116">
        <v>1</v>
      </c>
      <c r="G116">
        <v>17</v>
      </c>
      <c r="H116">
        <v>60</v>
      </c>
      <c r="I116" t="s">
        <v>486</v>
      </c>
      <c r="J116" s="6">
        <v>45170</v>
      </c>
      <c r="K116" s="1">
        <v>45183</v>
      </c>
      <c r="L116" t="str">
        <f>INDEX(league_players!C:C,MATCH($A116,league_players!$A:$A,0))</f>
        <v>Ryan</v>
      </c>
      <c r="M116" t="str">
        <f>INDEX(league_players!D:D,MATCH($A116,league_players!$A:$A,0))</f>
        <v>Neebe</v>
      </c>
      <c r="N116" s="1">
        <v>45182</v>
      </c>
      <c r="O116" s="1">
        <f t="shared" si="1"/>
        <v>45184</v>
      </c>
    </row>
    <row r="117" spans="1:15" x14ac:dyDescent="0.2">
      <c r="A117" t="s">
        <v>36</v>
      </c>
      <c r="B117">
        <v>20.5</v>
      </c>
      <c r="C117">
        <v>-3</v>
      </c>
      <c r="D117">
        <v>66</v>
      </c>
      <c r="E117">
        <v>87</v>
      </c>
      <c r="F117">
        <v>-1.5</v>
      </c>
      <c r="G117">
        <v>19</v>
      </c>
      <c r="H117">
        <v>100</v>
      </c>
      <c r="I117" t="s">
        <v>486</v>
      </c>
      <c r="J117" s="6">
        <v>45170</v>
      </c>
      <c r="K117" s="1">
        <v>45183</v>
      </c>
      <c r="L117" t="str">
        <f>INDEX(league_players!C:C,MATCH($A117,league_players!$A:$A,0))</f>
        <v>Andre</v>
      </c>
      <c r="M117" t="str">
        <f>INDEX(league_players!D:D,MATCH($A117,league_players!$A:$A,0))</f>
        <v>Gruber</v>
      </c>
      <c r="N117" s="1">
        <v>45182</v>
      </c>
      <c r="O117" s="1">
        <f t="shared" si="1"/>
        <v>45184</v>
      </c>
    </row>
    <row r="118" spans="1:15" x14ac:dyDescent="0.2">
      <c r="A118" t="s">
        <v>126</v>
      </c>
      <c r="B118">
        <v>14.5</v>
      </c>
      <c r="C118">
        <v>5</v>
      </c>
      <c r="D118">
        <v>74</v>
      </c>
      <c r="E118">
        <v>89</v>
      </c>
      <c r="F118">
        <v>1</v>
      </c>
      <c r="G118">
        <v>15.5</v>
      </c>
      <c r="H118">
        <v>5</v>
      </c>
      <c r="I118" t="s">
        <v>487</v>
      </c>
      <c r="J118" s="6">
        <v>45170</v>
      </c>
      <c r="K118" s="1">
        <v>45183</v>
      </c>
      <c r="L118" t="str">
        <f>INDEX(league_players!C:C,MATCH($A118,league_players!$A:$A,0))</f>
        <v>Elke</v>
      </c>
      <c r="M118" t="str">
        <f>INDEX(league_players!D:D,MATCH($A118,league_players!$A:$A,0))</f>
        <v>Biechele</v>
      </c>
      <c r="N118" s="1">
        <v>45182</v>
      </c>
      <c r="O118" s="1">
        <f t="shared" si="1"/>
        <v>45184</v>
      </c>
    </row>
    <row r="119" spans="1:15" x14ac:dyDescent="0.2">
      <c r="A119" t="s">
        <v>226</v>
      </c>
      <c r="B119">
        <v>12.5</v>
      </c>
      <c r="C119">
        <v>7</v>
      </c>
      <c r="D119">
        <v>76</v>
      </c>
      <c r="E119">
        <v>89</v>
      </c>
      <c r="F119">
        <v>1</v>
      </c>
      <c r="G119">
        <v>13.5</v>
      </c>
      <c r="H119">
        <v>20</v>
      </c>
      <c r="I119" t="s">
        <v>486</v>
      </c>
      <c r="J119" s="6">
        <v>45170</v>
      </c>
      <c r="K119" s="1">
        <v>45183</v>
      </c>
      <c r="L119" t="str">
        <f>INDEX(league_players!C:C,MATCH($A119,league_players!$A:$A,0))</f>
        <v>Kenneth</v>
      </c>
      <c r="M119" t="str">
        <f>INDEX(league_players!D:D,MATCH($A119,league_players!$A:$A,0))</f>
        <v>Cheung</v>
      </c>
      <c r="N119" s="1">
        <v>45182</v>
      </c>
      <c r="O119" s="1">
        <f t="shared" si="1"/>
        <v>45184</v>
      </c>
    </row>
    <row r="120" spans="1:15" x14ac:dyDescent="0.2">
      <c r="A120" t="s">
        <v>274</v>
      </c>
      <c r="B120">
        <v>16</v>
      </c>
      <c r="C120">
        <v>4</v>
      </c>
      <c r="D120">
        <v>73</v>
      </c>
      <c r="E120">
        <v>89</v>
      </c>
      <c r="F120">
        <v>1</v>
      </c>
      <c r="G120">
        <v>17</v>
      </c>
      <c r="H120">
        <v>30</v>
      </c>
      <c r="I120" t="s">
        <v>486</v>
      </c>
      <c r="J120" s="6">
        <v>45170</v>
      </c>
      <c r="K120" s="1">
        <v>45183</v>
      </c>
      <c r="L120" t="str">
        <f>INDEX(league_players!C:C,MATCH($A120,league_players!$A:$A,0))</f>
        <v>Nic</v>
      </c>
      <c r="M120" t="str">
        <f>INDEX(league_players!D:D,MATCH($A120,league_players!$A:$A,0))</f>
        <v>Kopitsis</v>
      </c>
      <c r="N120" s="1">
        <v>45182</v>
      </c>
      <c r="O120" s="1">
        <f t="shared" si="1"/>
        <v>45184</v>
      </c>
    </row>
    <row r="121" spans="1:15" x14ac:dyDescent="0.2">
      <c r="A121" t="s">
        <v>182</v>
      </c>
      <c r="B121">
        <v>22.5</v>
      </c>
      <c r="C121">
        <v>1</v>
      </c>
      <c r="D121">
        <v>70</v>
      </c>
      <c r="E121">
        <v>93</v>
      </c>
      <c r="F121">
        <v>1</v>
      </c>
      <c r="G121">
        <v>23.5</v>
      </c>
      <c r="H121">
        <v>60</v>
      </c>
      <c r="I121" t="s">
        <v>486</v>
      </c>
      <c r="J121" s="6">
        <v>45170</v>
      </c>
      <c r="K121" s="1">
        <v>45183</v>
      </c>
      <c r="L121" t="str">
        <f>INDEX(league_players!C:C,MATCH($A121,league_players!$A:$A,0))</f>
        <v>Jason</v>
      </c>
      <c r="M121" t="str">
        <f>INDEX(league_players!D:D,MATCH($A121,league_players!$A:$A,0))</f>
        <v>Pae</v>
      </c>
      <c r="N121" s="1">
        <v>45182</v>
      </c>
      <c r="O121" s="1">
        <f t="shared" si="1"/>
        <v>45184</v>
      </c>
    </row>
    <row r="122" spans="1:15" x14ac:dyDescent="0.2">
      <c r="A122" t="s">
        <v>361</v>
      </c>
      <c r="B122">
        <v>26.5</v>
      </c>
      <c r="C122">
        <v>3</v>
      </c>
      <c r="D122">
        <v>72</v>
      </c>
      <c r="E122">
        <v>99</v>
      </c>
      <c r="F122">
        <v>0</v>
      </c>
      <c r="G122">
        <v>26.5</v>
      </c>
      <c r="H122">
        <v>40</v>
      </c>
      <c r="I122" t="s">
        <v>486</v>
      </c>
      <c r="J122" s="6">
        <v>45170</v>
      </c>
      <c r="K122" s="1">
        <v>45183</v>
      </c>
      <c r="L122" t="str">
        <f>INDEX(league_players!C:C,MATCH($A122,league_players!$A:$A,0))</f>
        <v>Sophie</v>
      </c>
      <c r="M122" t="str">
        <f>INDEX(league_players!D:D,MATCH($A122,league_players!$A:$A,0))</f>
        <v>Yeung</v>
      </c>
      <c r="N122" s="1">
        <v>45182</v>
      </c>
      <c r="O122" s="1">
        <f t="shared" si="1"/>
        <v>45184</v>
      </c>
    </row>
    <row r="123" spans="1:15" x14ac:dyDescent="0.2">
      <c r="A123" t="s">
        <v>294</v>
      </c>
      <c r="B123">
        <v>19</v>
      </c>
      <c r="C123">
        <v>12</v>
      </c>
      <c r="D123">
        <v>81</v>
      </c>
      <c r="E123">
        <v>100</v>
      </c>
      <c r="F123">
        <v>1</v>
      </c>
      <c r="G123">
        <v>20</v>
      </c>
      <c r="H123">
        <v>5</v>
      </c>
      <c r="I123" t="s">
        <v>487</v>
      </c>
      <c r="J123" s="6">
        <v>45170</v>
      </c>
      <c r="K123" s="1">
        <v>45183</v>
      </c>
      <c r="L123" t="str">
        <f>INDEX(league_players!C:C,MATCH($A123,league_players!$A:$A,0))</f>
        <v>Peter</v>
      </c>
      <c r="M123" t="str">
        <f>INDEX(league_players!D:D,MATCH($A123,league_players!$A:$A,0))</f>
        <v>Ang Nielsen</v>
      </c>
      <c r="N123" s="1">
        <v>45182</v>
      </c>
      <c r="O123" s="1">
        <f t="shared" si="1"/>
        <v>45184</v>
      </c>
    </row>
    <row r="124" spans="1:15" x14ac:dyDescent="0.2">
      <c r="A124" s="4" t="s">
        <v>79</v>
      </c>
      <c r="B124">
        <v>12</v>
      </c>
      <c r="C124">
        <v>22</v>
      </c>
      <c r="D124">
        <v>91</v>
      </c>
      <c r="E124">
        <v>103</v>
      </c>
      <c r="F124">
        <v>1</v>
      </c>
      <c r="G124">
        <v>13</v>
      </c>
      <c r="H124">
        <v>10</v>
      </c>
      <c r="I124" t="s">
        <v>486</v>
      </c>
      <c r="J124" s="6">
        <v>45170</v>
      </c>
      <c r="K124" s="1">
        <v>45183</v>
      </c>
      <c r="L124" t="str">
        <f>INDEX(league_players!C:C,MATCH($A124,league_players!$A:$A,0))</f>
        <v>Chris</v>
      </c>
      <c r="M124" t="str">
        <f>INDEX(league_players!D:D,MATCH($A124,league_players!$A:$A,0))</f>
        <v>Emslie</v>
      </c>
      <c r="N124" s="1">
        <v>45182</v>
      </c>
      <c r="O124" s="1">
        <f t="shared" si="1"/>
        <v>45184</v>
      </c>
    </row>
    <row r="125" spans="1:15" x14ac:dyDescent="0.2">
      <c r="A125" t="s">
        <v>174</v>
      </c>
      <c r="B125">
        <v>25</v>
      </c>
      <c r="C125">
        <v>13</v>
      </c>
      <c r="D125">
        <v>82</v>
      </c>
      <c r="E125">
        <v>107</v>
      </c>
      <c r="F125">
        <v>0</v>
      </c>
      <c r="G125">
        <v>25</v>
      </c>
      <c r="H125">
        <v>5</v>
      </c>
      <c r="I125" t="s">
        <v>487</v>
      </c>
      <c r="J125" s="6">
        <v>45170</v>
      </c>
      <c r="K125" s="1">
        <v>45183</v>
      </c>
      <c r="L125" t="str">
        <f>INDEX(league_players!C:C,MATCH($A125,league_players!$A:$A,0))</f>
        <v>James</v>
      </c>
      <c r="M125" t="str">
        <f>INDEX(league_players!D:D,MATCH($A125,league_players!$A:$A,0))</f>
        <v>Green</v>
      </c>
      <c r="N125" s="1">
        <v>45182</v>
      </c>
      <c r="O125" s="1">
        <f t="shared" si="1"/>
        <v>45184</v>
      </c>
    </row>
    <row r="126" spans="1:15" x14ac:dyDescent="0.2">
      <c r="A126" t="s">
        <v>384</v>
      </c>
      <c r="B126">
        <v>1</v>
      </c>
      <c r="C126">
        <v>-1</v>
      </c>
      <c r="D126">
        <v>68</v>
      </c>
      <c r="E126">
        <v>69</v>
      </c>
      <c r="F126">
        <v>-0.5</v>
      </c>
      <c r="G126">
        <v>0.5</v>
      </c>
      <c r="H126">
        <v>30</v>
      </c>
      <c r="I126" t="s">
        <v>486</v>
      </c>
      <c r="J126" s="6">
        <v>45200</v>
      </c>
      <c r="K126" s="1">
        <v>45218</v>
      </c>
      <c r="L126" t="str">
        <f>INDEX(league_players!C:C,MATCH($A126,league_players!$A:$A,0))</f>
        <v>Tom</v>
      </c>
      <c r="M126" t="str">
        <f>INDEX(league_players!D:D,MATCH($A126,league_players!$A:$A,0))</f>
        <v>Gooding</v>
      </c>
      <c r="N126" s="1">
        <v>45217</v>
      </c>
      <c r="O126" s="1">
        <f t="shared" si="1"/>
        <v>45219</v>
      </c>
    </row>
    <row r="127" spans="1:15" x14ac:dyDescent="0.2">
      <c r="A127" t="s">
        <v>322</v>
      </c>
      <c r="B127">
        <v>5.5</v>
      </c>
      <c r="C127">
        <v>-5</v>
      </c>
      <c r="D127">
        <v>64</v>
      </c>
      <c r="E127">
        <v>70</v>
      </c>
      <c r="F127">
        <v>-2.5</v>
      </c>
      <c r="G127">
        <v>3</v>
      </c>
      <c r="H127">
        <v>80</v>
      </c>
      <c r="I127" t="s">
        <v>486</v>
      </c>
      <c r="J127" s="6">
        <v>45200</v>
      </c>
      <c r="K127" s="1">
        <v>45218</v>
      </c>
      <c r="L127" t="str">
        <f>INDEX(league_players!C:C,MATCH($A127,league_players!$A:$A,0))</f>
        <v>Rob</v>
      </c>
      <c r="M127" t="str">
        <f>INDEX(league_players!D:D,MATCH($A127,league_players!$A:$A,0))</f>
        <v>Springett</v>
      </c>
      <c r="N127" s="1">
        <v>45217</v>
      </c>
      <c r="O127" s="1">
        <f t="shared" si="1"/>
        <v>45219</v>
      </c>
    </row>
    <row r="128" spans="1:15" x14ac:dyDescent="0.2">
      <c r="A128" t="s">
        <v>349</v>
      </c>
      <c r="B128">
        <v>0</v>
      </c>
      <c r="C128">
        <v>1</v>
      </c>
      <c r="D128">
        <v>70</v>
      </c>
      <c r="E128">
        <v>70</v>
      </c>
      <c r="F128">
        <v>1</v>
      </c>
      <c r="G128">
        <v>1</v>
      </c>
      <c r="H128">
        <v>10</v>
      </c>
      <c r="I128" t="s">
        <v>486</v>
      </c>
      <c r="J128" s="6">
        <v>45200</v>
      </c>
      <c r="K128" s="1">
        <v>45218</v>
      </c>
      <c r="L128" t="str">
        <f>INDEX(league_players!C:C,MATCH($A128,league_players!$A:$A,0))</f>
        <v>Simon</v>
      </c>
      <c r="M128" t="str">
        <f>INDEX(league_players!D:D,MATCH($A128,league_players!$A:$A,0))</f>
        <v>Lloyd</v>
      </c>
      <c r="N128" s="1">
        <v>45217</v>
      </c>
      <c r="O128" s="1">
        <f t="shared" si="1"/>
        <v>45219</v>
      </c>
    </row>
    <row r="129" spans="1:15" x14ac:dyDescent="0.2">
      <c r="A129" t="s">
        <v>203</v>
      </c>
      <c r="B129">
        <v>4</v>
      </c>
      <c r="C129">
        <v>1</v>
      </c>
      <c r="D129">
        <v>70</v>
      </c>
      <c r="E129">
        <v>74</v>
      </c>
      <c r="F129">
        <v>1</v>
      </c>
      <c r="G129">
        <v>5</v>
      </c>
      <c r="H129">
        <v>10</v>
      </c>
      <c r="I129" t="s">
        <v>486</v>
      </c>
      <c r="J129" s="6">
        <v>45200</v>
      </c>
      <c r="K129" s="1">
        <v>45218</v>
      </c>
      <c r="L129" t="str">
        <f>INDEX(league_players!C:C,MATCH($A129,league_players!$A:$A,0))</f>
        <v>Jonathan</v>
      </c>
      <c r="M129" t="str">
        <f>INDEX(league_players!D:D,MATCH($A129,league_players!$A:$A,0))</f>
        <v>Woodward</v>
      </c>
      <c r="N129" s="1">
        <v>45217</v>
      </c>
      <c r="O129" s="1">
        <f t="shared" si="1"/>
        <v>45219</v>
      </c>
    </row>
    <row r="130" spans="1:15" x14ac:dyDescent="0.2">
      <c r="A130" t="s">
        <v>282</v>
      </c>
      <c r="B130">
        <v>5</v>
      </c>
      <c r="C130">
        <v>1</v>
      </c>
      <c r="D130">
        <v>70</v>
      </c>
      <c r="E130">
        <v>75</v>
      </c>
      <c r="F130">
        <v>1</v>
      </c>
      <c r="G130">
        <v>6</v>
      </c>
      <c r="H130">
        <v>10</v>
      </c>
      <c r="I130" t="s">
        <v>486</v>
      </c>
      <c r="J130" s="6">
        <v>45200</v>
      </c>
      <c r="K130" s="1">
        <v>45218</v>
      </c>
      <c r="L130" t="str">
        <f>INDEX(league_players!C:C,MATCH($A130,league_players!$A:$A,0))</f>
        <v>Oli</v>
      </c>
      <c r="M130" t="str">
        <f>INDEX(league_players!D:D,MATCH($A130,league_players!$A:$A,0))</f>
        <v>Hinchliffe</v>
      </c>
      <c r="N130" s="1">
        <v>45217</v>
      </c>
      <c r="O130" s="1">
        <f t="shared" si="1"/>
        <v>45219</v>
      </c>
    </row>
    <row r="131" spans="1:15" x14ac:dyDescent="0.2">
      <c r="A131" t="s">
        <v>137</v>
      </c>
      <c r="B131">
        <v>4</v>
      </c>
      <c r="C131">
        <v>3</v>
      </c>
      <c r="D131">
        <v>72</v>
      </c>
      <c r="E131">
        <v>76</v>
      </c>
      <c r="F131">
        <v>1</v>
      </c>
      <c r="G131">
        <v>5</v>
      </c>
      <c r="H131">
        <v>5</v>
      </c>
      <c r="I131" t="s">
        <v>486</v>
      </c>
      <c r="J131" s="6">
        <v>45200</v>
      </c>
      <c r="K131" s="1">
        <v>45218</v>
      </c>
      <c r="L131" t="str">
        <f>INDEX(league_players!C:C,MATCH($A131,league_players!$A:$A,0))</f>
        <v>Gary</v>
      </c>
      <c r="M131" t="str">
        <f>INDEX(league_players!D:D,MATCH($A131,league_players!$A:$A,0))</f>
        <v>Brookes</v>
      </c>
      <c r="N131" s="1">
        <v>45217</v>
      </c>
      <c r="O131" s="1">
        <f t="shared" ref="O131:O194" si="2">K131+1</f>
        <v>45219</v>
      </c>
    </row>
    <row r="132" spans="1:15" x14ac:dyDescent="0.2">
      <c r="A132" t="s">
        <v>390</v>
      </c>
      <c r="B132">
        <v>6</v>
      </c>
      <c r="C132">
        <v>2</v>
      </c>
      <c r="D132">
        <v>71</v>
      </c>
      <c r="E132">
        <v>77</v>
      </c>
      <c r="F132">
        <v>1</v>
      </c>
      <c r="G132">
        <v>7</v>
      </c>
      <c r="H132">
        <v>5</v>
      </c>
      <c r="I132" t="s">
        <v>487</v>
      </c>
      <c r="J132" s="6">
        <v>45200</v>
      </c>
      <c r="K132" s="1">
        <v>45218</v>
      </c>
      <c r="L132" t="str">
        <f>INDEX(league_players!C:C,MATCH($A132,league_players!$A:$A,0))</f>
        <v>Vincent</v>
      </c>
      <c r="M132" t="str">
        <f>INDEX(league_players!D:D,MATCH($A132,league_players!$A:$A,0))</f>
        <v>Banton</v>
      </c>
      <c r="N132" s="1">
        <v>45217</v>
      </c>
      <c r="O132" s="1">
        <f t="shared" si="2"/>
        <v>45219</v>
      </c>
    </row>
    <row r="133" spans="1:15" x14ac:dyDescent="0.2">
      <c r="A133" t="s">
        <v>207</v>
      </c>
      <c r="B133">
        <v>12</v>
      </c>
      <c r="C133">
        <v>-2</v>
      </c>
      <c r="D133">
        <v>67</v>
      </c>
      <c r="E133">
        <v>79</v>
      </c>
      <c r="F133">
        <v>-1</v>
      </c>
      <c r="G133">
        <v>11</v>
      </c>
      <c r="H133">
        <v>45</v>
      </c>
      <c r="I133" t="s">
        <v>486</v>
      </c>
      <c r="J133" s="6">
        <v>45200</v>
      </c>
      <c r="K133" s="1">
        <v>45218</v>
      </c>
      <c r="L133" t="str">
        <f>INDEX(league_players!C:C,MATCH($A133,league_players!$A:$A,0))</f>
        <v>Jonty</v>
      </c>
      <c r="M133" t="str">
        <f>INDEX(league_players!D:D,MATCH($A133,league_players!$A:$A,0))</f>
        <v>Richardson</v>
      </c>
      <c r="N133" s="1">
        <v>45217</v>
      </c>
      <c r="O133" s="1">
        <f t="shared" si="2"/>
        <v>45219</v>
      </c>
    </row>
    <row r="134" spans="1:15" x14ac:dyDescent="0.2">
      <c r="A134" t="s">
        <v>248</v>
      </c>
      <c r="B134">
        <v>13</v>
      </c>
      <c r="C134">
        <v>-3</v>
      </c>
      <c r="D134">
        <v>66</v>
      </c>
      <c r="E134">
        <v>79</v>
      </c>
      <c r="F134">
        <v>-1.5</v>
      </c>
      <c r="G134">
        <v>11.5</v>
      </c>
      <c r="H134">
        <v>65</v>
      </c>
      <c r="I134" t="s">
        <v>486</v>
      </c>
      <c r="J134" s="6">
        <v>45200</v>
      </c>
      <c r="K134" s="1">
        <v>45218</v>
      </c>
      <c r="L134" t="str">
        <f>INDEX(league_players!C:C,MATCH($A134,league_players!$A:$A,0))</f>
        <v>Marc</v>
      </c>
      <c r="M134" t="str">
        <f>INDEX(league_players!D:D,MATCH($A134,league_players!$A:$A,0))</f>
        <v>Westgate</v>
      </c>
      <c r="N134" s="1">
        <v>45217</v>
      </c>
      <c r="O134" s="1">
        <f t="shared" si="2"/>
        <v>45219</v>
      </c>
    </row>
    <row r="135" spans="1:15" x14ac:dyDescent="0.2">
      <c r="A135" t="s">
        <v>151</v>
      </c>
      <c r="B135">
        <v>8</v>
      </c>
      <c r="C135">
        <v>3</v>
      </c>
      <c r="D135">
        <v>72</v>
      </c>
      <c r="E135">
        <v>80</v>
      </c>
      <c r="F135">
        <v>1</v>
      </c>
      <c r="G135">
        <v>9</v>
      </c>
      <c r="H135">
        <v>5</v>
      </c>
      <c r="I135" t="s">
        <v>487</v>
      </c>
      <c r="J135" s="6">
        <v>45200</v>
      </c>
      <c r="K135" s="1">
        <v>45218</v>
      </c>
      <c r="L135" t="str">
        <f>INDEX(league_players!C:C,MATCH($A135,league_players!$A:$A,0))</f>
        <v>Grant</v>
      </c>
      <c r="M135" t="str">
        <f>INDEX(league_players!D:D,MATCH($A135,league_players!$A:$A,0))</f>
        <v>Bowman</v>
      </c>
      <c r="N135" s="1">
        <v>45217</v>
      </c>
      <c r="O135" s="1">
        <f t="shared" si="2"/>
        <v>45219</v>
      </c>
    </row>
    <row r="136" spans="1:15" x14ac:dyDescent="0.2">
      <c r="A136" t="s">
        <v>209</v>
      </c>
      <c r="B136">
        <v>9</v>
      </c>
      <c r="C136">
        <v>2</v>
      </c>
      <c r="D136">
        <v>71</v>
      </c>
      <c r="E136">
        <v>80</v>
      </c>
      <c r="F136">
        <v>1</v>
      </c>
      <c r="G136">
        <v>10</v>
      </c>
      <c r="H136">
        <v>5</v>
      </c>
      <c r="I136" t="s">
        <v>486</v>
      </c>
      <c r="J136" s="6">
        <v>45200</v>
      </c>
      <c r="K136" s="1">
        <v>45218</v>
      </c>
      <c r="L136" t="str">
        <f>INDEX(league_players!C:C,MATCH($A136,league_players!$A:$A,0))</f>
        <v>Julien</v>
      </c>
      <c r="M136" t="str">
        <f>INDEX(league_players!D:D,MATCH($A136,league_players!$A:$A,0))</f>
        <v>Blain</v>
      </c>
      <c r="N136" s="1">
        <v>45217</v>
      </c>
      <c r="O136" s="1">
        <f t="shared" si="2"/>
        <v>45219</v>
      </c>
    </row>
    <row r="137" spans="1:15" x14ac:dyDescent="0.2">
      <c r="A137" t="s">
        <v>211</v>
      </c>
      <c r="B137">
        <v>10</v>
      </c>
      <c r="C137">
        <v>1</v>
      </c>
      <c r="D137">
        <v>70</v>
      </c>
      <c r="E137">
        <v>80</v>
      </c>
      <c r="F137">
        <v>1</v>
      </c>
      <c r="G137">
        <v>11</v>
      </c>
      <c r="H137">
        <v>10</v>
      </c>
      <c r="I137" t="s">
        <v>486</v>
      </c>
      <c r="J137" s="6">
        <v>45200</v>
      </c>
      <c r="K137" s="1">
        <v>45218</v>
      </c>
      <c r="L137" t="str">
        <f>INDEX(league_players!C:C,MATCH($A137,league_players!$A:$A,0))</f>
        <v>Justin</v>
      </c>
      <c r="M137" t="str">
        <f>INDEX(league_players!D:D,MATCH($A137,league_players!$A:$A,0))</f>
        <v>McCarthy</v>
      </c>
      <c r="N137" s="1">
        <v>45217</v>
      </c>
      <c r="O137" s="1">
        <f t="shared" si="2"/>
        <v>45219</v>
      </c>
    </row>
    <row r="138" spans="1:15" x14ac:dyDescent="0.2">
      <c r="A138" s="3" t="s">
        <v>226</v>
      </c>
      <c r="B138">
        <v>13.5</v>
      </c>
      <c r="C138">
        <v>-3</v>
      </c>
      <c r="D138">
        <v>66</v>
      </c>
      <c r="E138">
        <v>80</v>
      </c>
      <c r="F138">
        <v>-1.5</v>
      </c>
      <c r="G138">
        <v>12</v>
      </c>
      <c r="H138">
        <v>65</v>
      </c>
      <c r="I138" t="s">
        <v>486</v>
      </c>
      <c r="J138" s="6">
        <v>45200</v>
      </c>
      <c r="K138" s="1">
        <v>45218</v>
      </c>
      <c r="L138" t="str">
        <f>INDEX(league_players!C:C,MATCH($A138,league_players!$A:$A,0))</f>
        <v>Kenneth</v>
      </c>
      <c r="M138" t="str">
        <f>INDEX(league_players!D:D,MATCH($A138,league_players!$A:$A,0))</f>
        <v>Cheung</v>
      </c>
      <c r="N138" s="1">
        <v>45217</v>
      </c>
      <c r="O138" s="1">
        <f t="shared" si="2"/>
        <v>45219</v>
      </c>
    </row>
    <row r="139" spans="1:15" x14ac:dyDescent="0.2">
      <c r="A139" t="s">
        <v>96</v>
      </c>
      <c r="B139">
        <v>20</v>
      </c>
      <c r="C139">
        <v>-8</v>
      </c>
      <c r="D139">
        <v>61</v>
      </c>
      <c r="E139">
        <v>81</v>
      </c>
      <c r="F139">
        <v>-4</v>
      </c>
      <c r="G139">
        <v>16</v>
      </c>
      <c r="H139">
        <v>95</v>
      </c>
      <c r="I139" t="s">
        <v>486</v>
      </c>
      <c r="J139" s="6">
        <v>45200</v>
      </c>
      <c r="K139" s="1">
        <v>45218</v>
      </c>
      <c r="L139" t="str">
        <f>INDEX(league_players!C:C,MATCH($A139,league_players!$A:$A,0))</f>
        <v>Daniel</v>
      </c>
      <c r="M139" t="str">
        <f>INDEX(league_players!D:D,MATCH($A139,league_players!$A:$A,0))</f>
        <v>Lawrence</v>
      </c>
      <c r="N139" s="1">
        <v>45217</v>
      </c>
      <c r="O139" s="1">
        <f t="shared" si="2"/>
        <v>45219</v>
      </c>
    </row>
    <row r="140" spans="1:15" x14ac:dyDescent="0.2">
      <c r="A140" t="s">
        <v>176</v>
      </c>
      <c r="B140">
        <v>13</v>
      </c>
      <c r="C140">
        <v>-1</v>
      </c>
      <c r="D140">
        <v>68</v>
      </c>
      <c r="E140">
        <v>81</v>
      </c>
      <c r="F140">
        <v>-0.5</v>
      </c>
      <c r="G140">
        <v>12.5</v>
      </c>
      <c r="H140">
        <v>5</v>
      </c>
      <c r="I140" t="s">
        <v>487</v>
      </c>
      <c r="J140" s="6">
        <v>45200</v>
      </c>
      <c r="K140" s="1">
        <v>45218</v>
      </c>
      <c r="L140" t="str">
        <f>INDEX(league_players!C:C,MATCH($A140,league_players!$A:$A,0))</f>
        <v>James</v>
      </c>
      <c r="M140" t="str">
        <f>INDEX(league_players!D:D,MATCH($A140,league_players!$A:$A,0))</f>
        <v>Lord</v>
      </c>
      <c r="N140" s="1">
        <v>45217</v>
      </c>
      <c r="O140" s="1">
        <f t="shared" si="2"/>
        <v>45219</v>
      </c>
    </row>
    <row r="141" spans="1:15" x14ac:dyDescent="0.2">
      <c r="A141" t="s">
        <v>178</v>
      </c>
      <c r="B141">
        <v>8.5</v>
      </c>
      <c r="C141">
        <v>3</v>
      </c>
      <c r="D141">
        <v>72</v>
      </c>
      <c r="E141">
        <v>81</v>
      </c>
      <c r="F141">
        <v>1</v>
      </c>
      <c r="G141">
        <v>9.5</v>
      </c>
      <c r="H141">
        <v>5</v>
      </c>
      <c r="I141" t="s">
        <v>487</v>
      </c>
      <c r="J141" s="6">
        <v>45200</v>
      </c>
      <c r="K141" s="1">
        <v>45218</v>
      </c>
      <c r="L141" t="str">
        <f>INDEX(league_players!C:C,MATCH($A141,league_players!$A:$A,0))</f>
        <v>Jamie</v>
      </c>
      <c r="M141" t="str">
        <f>INDEX(league_players!D:D,MATCH($A141,league_players!$A:$A,0))</f>
        <v>Hunt</v>
      </c>
      <c r="N141" s="1">
        <v>45217</v>
      </c>
      <c r="O141" s="1">
        <f t="shared" si="2"/>
        <v>45219</v>
      </c>
    </row>
    <row r="142" spans="1:15" x14ac:dyDescent="0.2">
      <c r="A142" t="s">
        <v>188</v>
      </c>
      <c r="B142">
        <v>14</v>
      </c>
      <c r="C142">
        <v>1</v>
      </c>
      <c r="D142">
        <v>70</v>
      </c>
      <c r="E142">
        <v>84</v>
      </c>
      <c r="F142">
        <v>1</v>
      </c>
      <c r="G142">
        <v>15</v>
      </c>
      <c r="H142">
        <v>10</v>
      </c>
      <c r="I142" t="s">
        <v>486</v>
      </c>
      <c r="J142" s="6">
        <v>45200</v>
      </c>
      <c r="K142" s="1">
        <v>45218</v>
      </c>
      <c r="L142" t="str">
        <f>INDEX(league_players!C:C,MATCH($A142,league_players!$A:$A,0))</f>
        <v>Jeannette</v>
      </c>
      <c r="M142" t="str">
        <f>INDEX(league_players!D:D,MATCH($A142,league_players!$A:$A,0))</f>
        <v>Chan</v>
      </c>
      <c r="N142" s="1">
        <v>45217</v>
      </c>
      <c r="O142" s="1">
        <f t="shared" si="2"/>
        <v>45219</v>
      </c>
    </row>
    <row r="143" spans="1:15" x14ac:dyDescent="0.2">
      <c r="A143" t="s">
        <v>310</v>
      </c>
      <c r="B143">
        <v>25</v>
      </c>
      <c r="C143">
        <v>-8</v>
      </c>
      <c r="D143">
        <v>61</v>
      </c>
      <c r="E143">
        <v>86</v>
      </c>
      <c r="F143">
        <v>-4</v>
      </c>
      <c r="G143">
        <v>21</v>
      </c>
      <c r="H143">
        <v>95</v>
      </c>
      <c r="I143" t="s">
        <v>486</v>
      </c>
      <c r="J143" s="6">
        <v>45200</v>
      </c>
      <c r="K143" s="1">
        <v>45218</v>
      </c>
      <c r="L143" t="str">
        <f>INDEX(league_players!C:C,MATCH($A143,league_players!$A:$A,0))</f>
        <v>Rana</v>
      </c>
      <c r="M143" t="str">
        <f>INDEX(league_players!D:D,MATCH($A143,league_players!$A:$A,0))</f>
        <v>Datta</v>
      </c>
      <c r="N143" s="1">
        <v>45217</v>
      </c>
      <c r="O143" s="1">
        <f t="shared" si="2"/>
        <v>45219</v>
      </c>
    </row>
    <row r="144" spans="1:15" x14ac:dyDescent="0.2">
      <c r="A144" t="s">
        <v>255</v>
      </c>
      <c r="B144">
        <v>18</v>
      </c>
      <c r="C144">
        <v>1</v>
      </c>
      <c r="D144">
        <v>70</v>
      </c>
      <c r="E144">
        <v>88</v>
      </c>
      <c r="F144">
        <v>1</v>
      </c>
      <c r="G144">
        <v>19</v>
      </c>
      <c r="H144">
        <v>5</v>
      </c>
      <c r="I144" t="s">
        <v>487</v>
      </c>
      <c r="J144" s="6">
        <v>45200</v>
      </c>
      <c r="K144" s="1">
        <v>45218</v>
      </c>
      <c r="L144" t="str">
        <f>INDEX(league_players!C:C,MATCH($A144,league_players!$A:$A,0))</f>
        <v>Matt</v>
      </c>
      <c r="M144" t="str">
        <f>INDEX(league_players!D:D,MATCH($A144,league_players!$A:$A,0))</f>
        <v>Donovan</v>
      </c>
      <c r="N144" s="1">
        <v>45217</v>
      </c>
      <c r="O144" s="1">
        <f t="shared" si="2"/>
        <v>45219</v>
      </c>
    </row>
    <row r="145" spans="1:15" x14ac:dyDescent="0.2">
      <c r="A145" t="s">
        <v>98</v>
      </c>
      <c r="B145">
        <v>23</v>
      </c>
      <c r="C145">
        <v>-3</v>
      </c>
      <c r="D145">
        <v>66</v>
      </c>
      <c r="E145">
        <v>89</v>
      </c>
      <c r="F145">
        <v>-1.5</v>
      </c>
      <c r="G145">
        <v>21.5</v>
      </c>
      <c r="H145">
        <v>5</v>
      </c>
      <c r="I145" t="s">
        <v>487</v>
      </c>
      <c r="J145" s="6">
        <v>45200</v>
      </c>
      <c r="K145" s="1">
        <v>45218</v>
      </c>
      <c r="L145" t="str">
        <f>INDEX(league_players!C:C,MATCH($A145,league_players!$A:$A,0))</f>
        <v>Daniel</v>
      </c>
      <c r="M145" t="str">
        <f>INDEX(league_players!D:D,MATCH($A145,league_players!$A:$A,0))</f>
        <v>Leong</v>
      </c>
      <c r="N145" s="1">
        <v>45217</v>
      </c>
      <c r="O145" s="1">
        <f t="shared" si="2"/>
        <v>45219</v>
      </c>
    </row>
    <row r="146" spans="1:15" x14ac:dyDescent="0.2">
      <c r="A146" t="s">
        <v>274</v>
      </c>
      <c r="B146">
        <v>17</v>
      </c>
      <c r="C146">
        <v>5</v>
      </c>
      <c r="D146">
        <v>74</v>
      </c>
      <c r="E146">
        <v>91</v>
      </c>
      <c r="F146">
        <v>1</v>
      </c>
      <c r="G146">
        <v>18</v>
      </c>
      <c r="H146">
        <v>5</v>
      </c>
      <c r="I146" t="s">
        <v>486</v>
      </c>
      <c r="J146" s="6">
        <v>45200</v>
      </c>
      <c r="K146" s="1">
        <v>45218</v>
      </c>
      <c r="L146" t="str">
        <f>INDEX(league_players!C:C,MATCH($A146,league_players!$A:$A,0))</f>
        <v>Nic</v>
      </c>
      <c r="M146" t="str">
        <f>INDEX(league_players!D:D,MATCH($A146,league_players!$A:$A,0))</f>
        <v>Kopitsis</v>
      </c>
      <c r="N146" s="1">
        <v>45217</v>
      </c>
      <c r="O146" s="1">
        <f t="shared" si="2"/>
        <v>45219</v>
      </c>
    </row>
    <row r="147" spans="1:15" x14ac:dyDescent="0.2">
      <c r="A147" t="s">
        <v>318</v>
      </c>
      <c r="B147">
        <v>16</v>
      </c>
      <c r="C147">
        <v>6</v>
      </c>
      <c r="D147">
        <v>75</v>
      </c>
      <c r="E147">
        <v>91</v>
      </c>
      <c r="F147">
        <v>1</v>
      </c>
      <c r="G147">
        <v>17</v>
      </c>
      <c r="H147">
        <v>5</v>
      </c>
      <c r="I147" t="s">
        <v>486</v>
      </c>
      <c r="J147" s="6">
        <v>45200</v>
      </c>
      <c r="K147" s="1">
        <v>45218</v>
      </c>
      <c r="L147" t="str">
        <f>INDEX(league_players!C:C,MATCH($A147,league_players!$A:$A,0))</f>
        <v>Richard</v>
      </c>
      <c r="M147" t="str">
        <f>INDEX(league_players!D:D,MATCH($A147,league_players!$A:$A,0))</f>
        <v>Cogswell</v>
      </c>
      <c r="N147" s="1">
        <v>45217</v>
      </c>
      <c r="O147" s="1">
        <f t="shared" si="2"/>
        <v>45219</v>
      </c>
    </row>
    <row r="148" spans="1:15" x14ac:dyDescent="0.2">
      <c r="A148" t="s">
        <v>59</v>
      </c>
      <c r="B148">
        <v>22</v>
      </c>
      <c r="C148">
        <v>1</v>
      </c>
      <c r="D148">
        <v>70</v>
      </c>
      <c r="E148">
        <v>92</v>
      </c>
      <c r="F148">
        <v>1</v>
      </c>
      <c r="G148">
        <v>23</v>
      </c>
      <c r="H148">
        <v>10</v>
      </c>
      <c r="I148" t="s">
        <v>486</v>
      </c>
      <c r="J148" s="6">
        <v>45200</v>
      </c>
      <c r="K148" s="1">
        <v>45218</v>
      </c>
      <c r="L148" t="str">
        <f>INDEX(league_players!C:C,MATCH($A148,league_players!$A:$A,0))</f>
        <v>Barnaby</v>
      </c>
      <c r="M148" t="str">
        <f>INDEX(league_players!D:D,MATCH($A148,league_players!$A:$A,0))</f>
        <v>Dobson</v>
      </c>
      <c r="N148" s="1">
        <v>45217</v>
      </c>
      <c r="O148" s="1">
        <f t="shared" si="2"/>
        <v>45219</v>
      </c>
    </row>
    <row r="149" spans="1:15" x14ac:dyDescent="0.2">
      <c r="A149" t="s">
        <v>394</v>
      </c>
      <c r="B149">
        <v>25</v>
      </c>
      <c r="C149">
        <v>-2</v>
      </c>
      <c r="D149">
        <v>67</v>
      </c>
      <c r="E149">
        <v>92</v>
      </c>
      <c r="F149">
        <v>-1</v>
      </c>
      <c r="G149">
        <v>24</v>
      </c>
      <c r="H149">
        <v>45</v>
      </c>
      <c r="I149" t="s">
        <v>486</v>
      </c>
      <c r="J149" s="6">
        <v>45200</v>
      </c>
      <c r="K149" s="1">
        <v>45218</v>
      </c>
      <c r="L149" t="str">
        <f>INDEX(league_players!C:C,MATCH($A149,league_players!$A:$A,0))</f>
        <v>Vishal</v>
      </c>
      <c r="M149" t="str">
        <f>INDEX(league_players!D:D,MATCH($A149,league_players!$A:$A,0))</f>
        <v>Achar</v>
      </c>
      <c r="N149" s="1">
        <v>45217</v>
      </c>
      <c r="O149" s="1">
        <f t="shared" si="2"/>
        <v>45219</v>
      </c>
    </row>
    <row r="150" spans="1:15" x14ac:dyDescent="0.2">
      <c r="A150" t="s">
        <v>36</v>
      </c>
      <c r="B150">
        <v>19</v>
      </c>
      <c r="C150">
        <v>6</v>
      </c>
      <c r="D150">
        <v>75</v>
      </c>
      <c r="E150">
        <v>94</v>
      </c>
      <c r="F150">
        <v>1</v>
      </c>
      <c r="G150">
        <v>20</v>
      </c>
      <c r="H150">
        <v>5</v>
      </c>
      <c r="I150" t="s">
        <v>486</v>
      </c>
      <c r="J150" s="6">
        <v>45200</v>
      </c>
      <c r="K150" s="1">
        <v>45218</v>
      </c>
      <c r="L150" t="str">
        <f>INDEX(league_players!C:C,MATCH($A150,league_players!$A:$A,0))</f>
        <v>Andre</v>
      </c>
      <c r="M150" t="str">
        <f>INDEX(league_players!D:D,MATCH($A150,league_players!$A:$A,0))</f>
        <v>Gruber</v>
      </c>
      <c r="N150" s="1">
        <v>45217</v>
      </c>
      <c r="O150" s="1">
        <f t="shared" si="2"/>
        <v>45219</v>
      </c>
    </row>
    <row r="151" spans="1:15" x14ac:dyDescent="0.2">
      <c r="A151" t="s">
        <v>63</v>
      </c>
      <c r="B151">
        <v>20</v>
      </c>
      <c r="C151">
        <v>5</v>
      </c>
      <c r="D151">
        <v>74</v>
      </c>
      <c r="E151">
        <v>94</v>
      </c>
      <c r="F151">
        <v>1</v>
      </c>
      <c r="G151">
        <v>21</v>
      </c>
      <c r="H151">
        <v>5</v>
      </c>
      <c r="I151" t="s">
        <v>487</v>
      </c>
      <c r="J151" s="6">
        <v>45200</v>
      </c>
      <c r="K151" s="1">
        <v>45218</v>
      </c>
      <c r="L151" t="str">
        <f>INDEX(league_players!C:C,MATCH($A151,league_players!$A:$A,0))</f>
        <v>Brad</v>
      </c>
      <c r="M151" t="str">
        <f>INDEX(league_players!D:D,MATCH($A151,league_players!$A:$A,0))</f>
        <v>Jowers</v>
      </c>
      <c r="N151" s="1">
        <v>45217</v>
      </c>
      <c r="O151" s="1">
        <f t="shared" si="2"/>
        <v>45219</v>
      </c>
    </row>
    <row r="152" spans="1:15" x14ac:dyDescent="0.2">
      <c r="A152" t="s">
        <v>81</v>
      </c>
      <c r="B152">
        <v>19</v>
      </c>
      <c r="C152">
        <v>6</v>
      </c>
      <c r="D152">
        <v>75</v>
      </c>
      <c r="E152">
        <v>94</v>
      </c>
      <c r="F152">
        <v>1</v>
      </c>
      <c r="G152">
        <v>20</v>
      </c>
      <c r="H152">
        <v>5</v>
      </c>
      <c r="I152" t="s">
        <v>486</v>
      </c>
      <c r="J152" s="6">
        <v>45200</v>
      </c>
      <c r="K152" s="1">
        <v>45218</v>
      </c>
      <c r="L152" t="str">
        <f>INDEX(league_players!C:C,MATCH($A152,league_players!$A:$A,0))</f>
        <v>Chris</v>
      </c>
      <c r="M152" t="str">
        <f>INDEX(league_players!D:D,MATCH($A152,league_players!$A:$A,0))</f>
        <v>Johnson</v>
      </c>
      <c r="N152" s="1">
        <v>45217</v>
      </c>
      <c r="O152" s="1">
        <f t="shared" si="2"/>
        <v>45219</v>
      </c>
    </row>
    <row r="153" spans="1:15" x14ac:dyDescent="0.2">
      <c r="A153" t="s">
        <v>294</v>
      </c>
      <c r="B153">
        <v>20</v>
      </c>
      <c r="C153">
        <v>5</v>
      </c>
      <c r="D153">
        <v>74</v>
      </c>
      <c r="E153">
        <v>94</v>
      </c>
      <c r="F153">
        <v>1</v>
      </c>
      <c r="G153">
        <v>21</v>
      </c>
      <c r="H153">
        <v>5</v>
      </c>
      <c r="I153" t="s">
        <v>486</v>
      </c>
      <c r="J153" s="6">
        <v>45200</v>
      </c>
      <c r="K153" s="1">
        <v>45218</v>
      </c>
      <c r="L153" t="str">
        <f>INDEX(league_players!C:C,MATCH($A153,league_players!$A:$A,0))</f>
        <v>Peter</v>
      </c>
      <c r="M153" t="str">
        <f>INDEX(league_players!D:D,MATCH($A153,league_players!$A:$A,0))</f>
        <v>Ang Nielsen</v>
      </c>
      <c r="N153" s="1">
        <v>45217</v>
      </c>
      <c r="O153" s="1">
        <f t="shared" si="2"/>
        <v>45219</v>
      </c>
    </row>
    <row r="154" spans="1:15" x14ac:dyDescent="0.2">
      <c r="A154" t="s">
        <v>272</v>
      </c>
      <c r="B154">
        <v>24</v>
      </c>
      <c r="C154">
        <v>2</v>
      </c>
      <c r="D154">
        <v>71</v>
      </c>
      <c r="E154">
        <v>95</v>
      </c>
      <c r="F154">
        <v>1</v>
      </c>
      <c r="G154">
        <v>25</v>
      </c>
      <c r="H154">
        <v>5</v>
      </c>
      <c r="I154" t="s">
        <v>487</v>
      </c>
      <c r="J154" s="6">
        <v>45200</v>
      </c>
      <c r="K154" s="1">
        <v>45218</v>
      </c>
      <c r="L154" t="str">
        <f>INDEX(league_players!C:C,MATCH($A154,league_players!$A:$A,0))</f>
        <v>Neelay</v>
      </c>
      <c r="M154" t="str">
        <f>INDEX(league_players!D:D,MATCH($A154,league_players!$A:$A,0))</f>
        <v>Patel</v>
      </c>
      <c r="N154" s="1">
        <v>45217</v>
      </c>
      <c r="O154" s="1">
        <f t="shared" si="2"/>
        <v>45219</v>
      </c>
    </row>
    <row r="155" spans="1:15" x14ac:dyDescent="0.2">
      <c r="A155" t="s">
        <v>335</v>
      </c>
      <c r="B155">
        <v>13.5</v>
      </c>
      <c r="C155">
        <v>12</v>
      </c>
      <c r="D155">
        <v>81</v>
      </c>
      <c r="E155">
        <v>95</v>
      </c>
      <c r="F155">
        <v>1</v>
      </c>
      <c r="G155">
        <v>14.5</v>
      </c>
      <c r="H155">
        <v>5</v>
      </c>
      <c r="I155" t="s">
        <v>486</v>
      </c>
      <c r="J155" s="6">
        <v>45200</v>
      </c>
      <c r="K155" s="1">
        <v>45218</v>
      </c>
      <c r="L155" t="str">
        <f>INDEX(league_players!C:C,MATCH($A155,league_players!$A:$A,0))</f>
        <v>Sean</v>
      </c>
      <c r="M155" t="str">
        <f>INDEX(league_players!D:D,MATCH($A155,league_players!$A:$A,0))</f>
        <v>McDermott</v>
      </c>
      <c r="N155" s="1">
        <v>45217</v>
      </c>
      <c r="O155" s="1">
        <f t="shared" si="2"/>
        <v>45219</v>
      </c>
    </row>
    <row r="156" spans="1:15" x14ac:dyDescent="0.2">
      <c r="A156" t="s">
        <v>367</v>
      </c>
      <c r="B156">
        <v>24</v>
      </c>
      <c r="C156">
        <v>2</v>
      </c>
      <c r="D156">
        <v>71</v>
      </c>
      <c r="E156">
        <v>95</v>
      </c>
      <c r="F156">
        <v>1</v>
      </c>
      <c r="G156">
        <v>25</v>
      </c>
      <c r="H156">
        <v>5</v>
      </c>
      <c r="I156" t="s">
        <v>486</v>
      </c>
      <c r="J156" s="6">
        <v>45200</v>
      </c>
      <c r="K156" s="1">
        <v>45218</v>
      </c>
      <c r="L156" t="str">
        <f>INDEX(league_players!C:C,MATCH($A156,league_players!$A:$A,0))</f>
        <v>Steve</v>
      </c>
      <c r="M156" t="str">
        <f>INDEX(league_players!D:D,MATCH($A156,league_players!$A:$A,0))</f>
        <v>McCole</v>
      </c>
      <c r="N156" s="1">
        <v>45217</v>
      </c>
      <c r="O156" s="1">
        <f t="shared" si="2"/>
        <v>45219</v>
      </c>
    </row>
    <row r="157" spans="1:15" x14ac:dyDescent="0.2">
      <c r="A157" t="s">
        <v>44</v>
      </c>
      <c r="B157">
        <v>16</v>
      </c>
      <c r="C157">
        <v>11</v>
      </c>
      <c r="D157">
        <v>80</v>
      </c>
      <c r="E157">
        <v>96</v>
      </c>
      <c r="F157">
        <v>1</v>
      </c>
      <c r="G157">
        <v>17</v>
      </c>
      <c r="H157">
        <v>5</v>
      </c>
      <c r="I157" t="s">
        <v>487</v>
      </c>
      <c r="J157" s="6">
        <v>45200</v>
      </c>
      <c r="K157" s="1">
        <v>45218</v>
      </c>
      <c r="L157" t="str">
        <f>INDEX(league_players!C:C,MATCH($A157,league_players!$A:$A,0))</f>
        <v>Annabelle</v>
      </c>
      <c r="M157" t="str">
        <f>INDEX(league_players!D:D,MATCH($A157,league_players!$A:$A,0))</f>
        <v>Lim</v>
      </c>
      <c r="N157" s="1">
        <v>45217</v>
      </c>
      <c r="O157" s="1">
        <f t="shared" si="2"/>
        <v>45219</v>
      </c>
    </row>
    <row r="158" spans="1:15" x14ac:dyDescent="0.2">
      <c r="A158" t="s">
        <v>102</v>
      </c>
      <c r="B158">
        <v>25</v>
      </c>
      <c r="C158">
        <v>3</v>
      </c>
      <c r="D158">
        <v>72</v>
      </c>
      <c r="E158">
        <v>97</v>
      </c>
      <c r="F158">
        <v>0</v>
      </c>
      <c r="G158">
        <v>25</v>
      </c>
      <c r="H158">
        <v>5</v>
      </c>
      <c r="I158" t="s">
        <v>486</v>
      </c>
      <c r="J158" s="6">
        <v>45200</v>
      </c>
      <c r="K158" s="1">
        <v>45218</v>
      </c>
      <c r="L158" t="str">
        <f>INDEX(league_players!C:C,MATCH($A158,league_players!$A:$A,0))</f>
        <v>Darren</v>
      </c>
      <c r="M158" t="str">
        <f>INDEX(league_players!D:D,MATCH($A158,league_players!$A:$A,0))</f>
        <v>Measures</v>
      </c>
      <c r="N158" s="1">
        <v>45217</v>
      </c>
      <c r="O158" s="1">
        <f t="shared" si="2"/>
        <v>45219</v>
      </c>
    </row>
    <row r="159" spans="1:15" x14ac:dyDescent="0.2">
      <c r="A159" t="s">
        <v>116</v>
      </c>
      <c r="B159">
        <v>24</v>
      </c>
      <c r="C159">
        <v>5</v>
      </c>
      <c r="D159">
        <v>74</v>
      </c>
      <c r="E159">
        <v>98</v>
      </c>
      <c r="F159">
        <v>1</v>
      </c>
      <c r="G159">
        <v>25</v>
      </c>
      <c r="H159">
        <v>5</v>
      </c>
      <c r="I159" t="s">
        <v>486</v>
      </c>
      <c r="J159" s="6">
        <v>45200</v>
      </c>
      <c r="K159" s="1">
        <v>45218</v>
      </c>
      <c r="L159" t="str">
        <f>INDEX(league_players!C:C,MATCH($A159,league_players!$A:$A,0))</f>
        <v>Donough</v>
      </c>
      <c r="M159" t="str">
        <f>INDEX(league_players!D:D,MATCH($A159,league_players!$A:$A,0))</f>
        <v>Murphy</v>
      </c>
      <c r="N159" s="1">
        <v>45217</v>
      </c>
      <c r="O159" s="1">
        <f t="shared" si="2"/>
        <v>45219</v>
      </c>
    </row>
    <row r="160" spans="1:15" x14ac:dyDescent="0.2">
      <c r="A160" t="s">
        <v>28</v>
      </c>
      <c r="B160">
        <v>18</v>
      </c>
      <c r="C160">
        <v>12</v>
      </c>
      <c r="D160">
        <v>81</v>
      </c>
      <c r="E160">
        <v>99</v>
      </c>
      <c r="F160">
        <v>1</v>
      </c>
      <c r="G160">
        <v>19</v>
      </c>
      <c r="H160">
        <v>5</v>
      </c>
      <c r="I160" t="s">
        <v>486</v>
      </c>
      <c r="J160" s="6">
        <v>45200</v>
      </c>
      <c r="K160" s="1">
        <v>45218</v>
      </c>
      <c r="L160" t="str">
        <f>INDEX(league_players!C:C,MATCH($A160,league_players!$A:$A,0))</f>
        <v>Alex</v>
      </c>
      <c r="M160" t="str">
        <f>INDEX(league_players!D:D,MATCH($A160,league_players!$A:$A,0))</f>
        <v>Thanopoulos</v>
      </c>
      <c r="N160" s="1">
        <v>45217</v>
      </c>
      <c r="O160" s="1">
        <f t="shared" si="2"/>
        <v>45219</v>
      </c>
    </row>
    <row r="161" spans="1:15" x14ac:dyDescent="0.2">
      <c r="A161" t="s">
        <v>376</v>
      </c>
      <c r="B161">
        <v>28</v>
      </c>
      <c r="C161">
        <v>2</v>
      </c>
      <c r="D161">
        <v>71</v>
      </c>
      <c r="E161">
        <v>99</v>
      </c>
      <c r="F161">
        <v>0</v>
      </c>
      <c r="G161">
        <v>28</v>
      </c>
      <c r="H161">
        <v>5</v>
      </c>
      <c r="I161" t="s">
        <v>487</v>
      </c>
      <c r="J161" s="6">
        <v>45200</v>
      </c>
      <c r="K161" s="1">
        <v>45218</v>
      </c>
      <c r="L161" t="str">
        <f>INDEX(league_players!C:C,MATCH($A161,league_players!$A:$A,0))</f>
        <v>Sue Ann</v>
      </c>
      <c r="M161" t="str">
        <f>INDEX(league_players!D:D,MATCH($A161,league_players!$A:$A,0))</f>
        <v>Lim</v>
      </c>
      <c r="N161" s="1">
        <v>45217</v>
      </c>
      <c r="O161" s="1">
        <f t="shared" si="2"/>
        <v>45219</v>
      </c>
    </row>
    <row r="162" spans="1:15" x14ac:dyDescent="0.2">
      <c r="A162" t="s">
        <v>201</v>
      </c>
      <c r="B162">
        <v>16</v>
      </c>
      <c r="C162">
        <v>15</v>
      </c>
      <c r="D162">
        <v>84</v>
      </c>
      <c r="E162">
        <v>100</v>
      </c>
      <c r="F162">
        <v>1</v>
      </c>
      <c r="G162">
        <v>17</v>
      </c>
      <c r="H162">
        <v>5</v>
      </c>
      <c r="I162" t="s">
        <v>487</v>
      </c>
      <c r="J162" s="6">
        <v>45200</v>
      </c>
      <c r="K162" s="1">
        <v>45218</v>
      </c>
      <c r="L162" t="str">
        <f>INDEX(league_players!C:C,MATCH($A162,league_players!$A:$A,0))</f>
        <v>Jon</v>
      </c>
      <c r="M162" t="str">
        <f>INDEX(league_players!D:D,MATCH($A162,league_players!$A:$A,0))</f>
        <v>Gilpin</v>
      </c>
      <c r="N162" s="1">
        <v>45217</v>
      </c>
      <c r="O162" s="1">
        <f t="shared" si="2"/>
        <v>45219</v>
      </c>
    </row>
    <row r="163" spans="1:15" x14ac:dyDescent="0.2">
      <c r="A163" t="s">
        <v>147</v>
      </c>
      <c r="B163">
        <v>23</v>
      </c>
      <c r="C163">
        <v>9</v>
      </c>
      <c r="D163">
        <v>78</v>
      </c>
      <c r="E163">
        <v>101</v>
      </c>
      <c r="F163">
        <v>1</v>
      </c>
      <c r="G163">
        <v>24</v>
      </c>
      <c r="H163">
        <v>5</v>
      </c>
      <c r="I163" t="s">
        <v>487</v>
      </c>
      <c r="J163" s="6">
        <v>45200</v>
      </c>
      <c r="K163" s="1">
        <v>45218</v>
      </c>
      <c r="L163" t="str">
        <f>INDEX(league_players!C:C,MATCH($A163,league_players!$A:$A,0))</f>
        <v>Govind</v>
      </c>
      <c r="M163" t="str">
        <f>INDEX(league_players!D:D,MATCH($A163,league_players!$A:$A,0))</f>
        <v>Chowdhery</v>
      </c>
      <c r="N163" s="1">
        <v>45217</v>
      </c>
      <c r="O163" s="1">
        <f t="shared" si="2"/>
        <v>45219</v>
      </c>
    </row>
    <row r="164" spans="1:15" x14ac:dyDescent="0.2">
      <c r="A164" t="s">
        <v>190</v>
      </c>
      <c r="B164">
        <v>25</v>
      </c>
      <c r="C164">
        <v>7</v>
      </c>
      <c r="D164">
        <v>76</v>
      </c>
      <c r="E164">
        <v>101</v>
      </c>
      <c r="F164">
        <v>0</v>
      </c>
      <c r="G164">
        <v>25</v>
      </c>
      <c r="H164">
        <v>5</v>
      </c>
      <c r="I164" t="s">
        <v>486</v>
      </c>
      <c r="J164" s="6">
        <v>45200</v>
      </c>
      <c r="K164" s="1">
        <v>45218</v>
      </c>
      <c r="L164" t="str">
        <f>INDEX(league_players!C:C,MATCH($A164,league_players!$A:$A,0))</f>
        <v>Jeff</v>
      </c>
      <c r="M164" t="str">
        <f>INDEX(league_players!D:D,MATCH($A164,league_players!$A:$A,0))</f>
        <v>Plein</v>
      </c>
      <c r="N164" s="1">
        <v>45217</v>
      </c>
      <c r="O164" s="1">
        <f t="shared" si="2"/>
        <v>45219</v>
      </c>
    </row>
    <row r="165" spans="1:15" x14ac:dyDescent="0.2">
      <c r="A165" t="s">
        <v>61</v>
      </c>
      <c r="B165">
        <v>21</v>
      </c>
      <c r="C165">
        <v>18</v>
      </c>
      <c r="D165">
        <v>87</v>
      </c>
      <c r="E165">
        <v>108</v>
      </c>
      <c r="F165">
        <v>1</v>
      </c>
      <c r="G165">
        <v>22</v>
      </c>
      <c r="H165">
        <v>5</v>
      </c>
      <c r="I165" t="s">
        <v>487</v>
      </c>
      <c r="J165" s="6">
        <v>45200</v>
      </c>
      <c r="K165" s="1">
        <v>45218</v>
      </c>
      <c r="L165" t="str">
        <f>INDEX(league_players!C:C,MATCH($A165,league_players!$A:$A,0))</f>
        <v>BC</v>
      </c>
      <c r="M165" t="str">
        <f>INDEX(league_players!D:D,MATCH($A165,league_players!$A:$A,0))</f>
        <v>Tan</v>
      </c>
      <c r="N165" s="1">
        <v>45217</v>
      </c>
      <c r="O165" s="1">
        <f t="shared" si="2"/>
        <v>45219</v>
      </c>
    </row>
    <row r="166" spans="1:15" x14ac:dyDescent="0.2">
      <c r="A166" t="s">
        <v>92</v>
      </c>
      <c r="B166">
        <v>3.5</v>
      </c>
      <c r="C166">
        <v>4</v>
      </c>
      <c r="D166">
        <v>76</v>
      </c>
      <c r="E166">
        <v>80</v>
      </c>
      <c r="F166">
        <v>1</v>
      </c>
      <c r="G166">
        <v>4.5</v>
      </c>
      <c r="H166">
        <v>80</v>
      </c>
      <c r="I166" t="s">
        <v>486</v>
      </c>
      <c r="J166" s="6">
        <v>45292</v>
      </c>
      <c r="K166" s="1">
        <v>45317</v>
      </c>
      <c r="L166" t="str">
        <f>INDEX(league_players!C:C,MATCH($A166,league_players!$A:$A,0))</f>
        <v>Dan</v>
      </c>
      <c r="M166" t="str">
        <f>INDEX(league_players!D:D,MATCH($A166,league_players!$A:$A,0))</f>
        <v>Sleep</v>
      </c>
      <c r="N166" s="1">
        <v>45316</v>
      </c>
      <c r="O166" s="1">
        <f t="shared" si="2"/>
        <v>45318</v>
      </c>
    </row>
    <row r="167" spans="1:15" x14ac:dyDescent="0.2">
      <c r="A167" t="s">
        <v>372</v>
      </c>
      <c r="B167">
        <v>7.5</v>
      </c>
      <c r="C167">
        <v>1</v>
      </c>
      <c r="D167">
        <v>73</v>
      </c>
      <c r="E167">
        <v>81</v>
      </c>
      <c r="F167">
        <v>1</v>
      </c>
      <c r="G167">
        <v>8.5</v>
      </c>
      <c r="H167">
        <v>95</v>
      </c>
      <c r="I167" t="s">
        <v>486</v>
      </c>
      <c r="J167" s="6">
        <v>45292</v>
      </c>
      <c r="K167" s="1">
        <v>45317</v>
      </c>
      <c r="L167" t="str">
        <f>INDEX(league_players!C:C,MATCH($A167,league_players!$A:$A,0))</f>
        <v>Stuart</v>
      </c>
      <c r="M167" t="str">
        <f>INDEX(league_players!D:D,MATCH($A167,league_players!$A:$A,0))</f>
        <v>Andrew</v>
      </c>
      <c r="N167" s="1">
        <v>45316</v>
      </c>
      <c r="O167" s="1">
        <f t="shared" si="2"/>
        <v>45318</v>
      </c>
    </row>
    <row r="168" spans="1:15" x14ac:dyDescent="0.2">
      <c r="A168" t="s">
        <v>384</v>
      </c>
      <c r="B168">
        <v>0.5</v>
      </c>
      <c r="C168">
        <v>8</v>
      </c>
      <c r="D168">
        <v>80</v>
      </c>
      <c r="E168">
        <v>81</v>
      </c>
      <c r="F168">
        <v>1</v>
      </c>
      <c r="G168">
        <v>1.5</v>
      </c>
      <c r="H168">
        <v>50</v>
      </c>
      <c r="I168" t="s">
        <v>486</v>
      </c>
      <c r="J168" s="6">
        <v>45292</v>
      </c>
      <c r="K168" s="1">
        <v>45317</v>
      </c>
      <c r="L168" t="str">
        <f>INDEX(league_players!C:C,MATCH($A168,league_players!$A:$A,0))</f>
        <v>Tom</v>
      </c>
      <c r="M168" t="str">
        <f>INDEX(league_players!D:D,MATCH($A168,league_players!$A:$A,0))</f>
        <v>Gooding</v>
      </c>
      <c r="N168" s="1">
        <v>45316</v>
      </c>
      <c r="O168" s="1">
        <f t="shared" si="2"/>
        <v>45318</v>
      </c>
    </row>
    <row r="169" spans="1:15" x14ac:dyDescent="0.2">
      <c r="A169" t="s">
        <v>195</v>
      </c>
      <c r="B169">
        <v>-0.5</v>
      </c>
      <c r="C169">
        <v>12</v>
      </c>
      <c r="D169">
        <v>84</v>
      </c>
      <c r="E169">
        <v>83</v>
      </c>
      <c r="F169">
        <v>1</v>
      </c>
      <c r="G169">
        <v>0.5</v>
      </c>
      <c r="H169">
        <v>5</v>
      </c>
      <c r="I169" t="s">
        <v>486</v>
      </c>
      <c r="J169" s="6">
        <v>45292</v>
      </c>
      <c r="K169" s="1">
        <v>45317</v>
      </c>
      <c r="L169" t="str">
        <f>INDEX(league_players!C:C,MATCH($A169,league_players!$A:$A,0))</f>
        <v>John</v>
      </c>
      <c r="M169" t="str">
        <f>INDEX(league_players!D:D,MATCH($A169,league_players!$A:$A,0))</f>
        <v>Heming</v>
      </c>
      <c r="N169" s="1">
        <v>45316</v>
      </c>
      <c r="O169" s="1">
        <f t="shared" si="2"/>
        <v>45318</v>
      </c>
    </row>
    <row r="170" spans="1:15" x14ac:dyDescent="0.2">
      <c r="A170" t="s">
        <v>264</v>
      </c>
      <c r="B170">
        <v>7</v>
      </c>
      <c r="C170">
        <v>7</v>
      </c>
      <c r="D170">
        <v>79</v>
      </c>
      <c r="E170">
        <v>86</v>
      </c>
      <c r="F170">
        <v>1</v>
      </c>
      <c r="G170">
        <v>8</v>
      </c>
      <c r="H170">
        <v>70</v>
      </c>
      <c r="I170" t="s">
        <v>486</v>
      </c>
      <c r="J170" s="6">
        <v>45292</v>
      </c>
      <c r="K170" s="1">
        <v>45317</v>
      </c>
      <c r="L170" t="str">
        <f>INDEX(league_players!C:C,MATCH($A170,league_players!$A:$A,0))</f>
        <v>MeiZhen</v>
      </c>
      <c r="M170" t="str">
        <f>INDEX(league_players!D:D,MATCH($A170,league_players!$A:$A,0))</f>
        <v>Wang</v>
      </c>
      <c r="N170" s="1">
        <v>45316</v>
      </c>
      <c r="O170" s="1">
        <f t="shared" si="2"/>
        <v>45318</v>
      </c>
    </row>
    <row r="171" spans="1:15" x14ac:dyDescent="0.2">
      <c r="A171" t="s">
        <v>322</v>
      </c>
      <c r="B171">
        <v>3</v>
      </c>
      <c r="C171">
        <v>11</v>
      </c>
      <c r="D171">
        <v>83</v>
      </c>
      <c r="E171">
        <v>86</v>
      </c>
      <c r="F171">
        <v>1</v>
      </c>
      <c r="G171">
        <v>4</v>
      </c>
      <c r="H171">
        <v>10</v>
      </c>
      <c r="I171" t="s">
        <v>486</v>
      </c>
      <c r="J171" s="6">
        <v>45292</v>
      </c>
      <c r="K171" s="1">
        <v>45317</v>
      </c>
      <c r="L171" t="str">
        <f>INDEX(league_players!C:C,MATCH($A171,league_players!$A:$A,0))</f>
        <v>Rob</v>
      </c>
      <c r="M171" t="str">
        <f>INDEX(league_players!D:D,MATCH($A171,league_players!$A:$A,0))</f>
        <v>Springett</v>
      </c>
      <c r="N171" s="1">
        <v>45316</v>
      </c>
      <c r="O171" s="1">
        <f t="shared" si="2"/>
        <v>45318</v>
      </c>
    </row>
    <row r="172" spans="1:15" x14ac:dyDescent="0.2">
      <c r="A172" t="s">
        <v>216</v>
      </c>
      <c r="B172">
        <v>14.1</v>
      </c>
      <c r="C172">
        <v>2</v>
      </c>
      <c r="D172">
        <v>74</v>
      </c>
      <c r="E172">
        <v>88</v>
      </c>
      <c r="F172">
        <v>1</v>
      </c>
      <c r="G172">
        <v>15.1</v>
      </c>
      <c r="H172">
        <v>5</v>
      </c>
      <c r="I172" t="s">
        <v>487</v>
      </c>
      <c r="J172" s="6">
        <v>45292</v>
      </c>
      <c r="K172" s="1">
        <v>45317</v>
      </c>
      <c r="L172" t="str">
        <f>INDEX(league_players!C:C,MATCH($A172,league_players!$A:$A,0))</f>
        <v>Karl</v>
      </c>
      <c r="M172" t="str">
        <f>INDEX(league_players!D:D,MATCH($A172,league_players!$A:$A,0))</f>
        <v>Cowman</v>
      </c>
      <c r="N172" s="1">
        <v>45316</v>
      </c>
      <c r="O172" s="1">
        <f t="shared" si="2"/>
        <v>45318</v>
      </c>
    </row>
    <row r="173" spans="1:15" x14ac:dyDescent="0.2">
      <c r="A173" t="s">
        <v>310</v>
      </c>
      <c r="B173">
        <v>24</v>
      </c>
      <c r="C173">
        <v>1</v>
      </c>
      <c r="D173">
        <v>73</v>
      </c>
      <c r="E173">
        <v>97</v>
      </c>
      <c r="F173">
        <v>1</v>
      </c>
      <c r="G173">
        <v>25</v>
      </c>
      <c r="H173">
        <v>95</v>
      </c>
      <c r="I173" s="6" t="s">
        <v>486</v>
      </c>
      <c r="J173" s="6">
        <v>45292</v>
      </c>
      <c r="K173" s="1">
        <v>45317</v>
      </c>
      <c r="L173" t="str">
        <f>INDEX(league_players!C:C,MATCH($A173,league_players!$A:$A,0))</f>
        <v>Rana</v>
      </c>
      <c r="M173" t="str">
        <f>INDEX(league_players!D:D,MATCH($A173,league_players!$A:$A,0))</f>
        <v>Datta</v>
      </c>
      <c r="N173" s="1">
        <v>45316</v>
      </c>
      <c r="O173" s="1">
        <f t="shared" si="2"/>
        <v>45318</v>
      </c>
    </row>
    <row r="174" spans="1:15" x14ac:dyDescent="0.2">
      <c r="A174" t="s">
        <v>318</v>
      </c>
      <c r="B174">
        <v>17</v>
      </c>
      <c r="C174">
        <v>8</v>
      </c>
      <c r="D174">
        <v>80</v>
      </c>
      <c r="E174">
        <v>97</v>
      </c>
      <c r="F174">
        <v>1</v>
      </c>
      <c r="G174">
        <v>18</v>
      </c>
      <c r="H174">
        <v>50</v>
      </c>
      <c r="I174" s="6" t="s">
        <v>486</v>
      </c>
      <c r="J174" s="6">
        <v>45292</v>
      </c>
      <c r="K174" s="1">
        <v>45317</v>
      </c>
      <c r="L174" t="str">
        <f>INDEX(league_players!C:C,MATCH($A174,league_players!$A:$A,0))</f>
        <v>Richard</v>
      </c>
      <c r="M174" t="str">
        <f>INDEX(league_players!D:D,MATCH($A174,league_players!$A:$A,0))</f>
        <v>Cogswell</v>
      </c>
      <c r="N174" s="1">
        <v>45316</v>
      </c>
      <c r="O174" s="1">
        <f t="shared" si="2"/>
        <v>45318</v>
      </c>
    </row>
    <row r="175" spans="1:15" x14ac:dyDescent="0.2">
      <c r="A175" t="s">
        <v>199</v>
      </c>
      <c r="B175">
        <v>17</v>
      </c>
      <c r="C175">
        <v>9</v>
      </c>
      <c r="D175">
        <v>81</v>
      </c>
      <c r="E175">
        <v>98</v>
      </c>
      <c r="F175">
        <v>1</v>
      </c>
      <c r="G175">
        <v>18</v>
      </c>
      <c r="H175">
        <v>5</v>
      </c>
      <c r="I175" t="s">
        <v>487</v>
      </c>
      <c r="J175" s="6">
        <v>45292</v>
      </c>
      <c r="K175" s="1">
        <v>45317</v>
      </c>
      <c r="L175" t="str">
        <f>INDEX(league_players!C:C,MATCH($A175,league_players!$A:$A,0))</f>
        <v>John</v>
      </c>
      <c r="M175" t="str">
        <f>INDEX(league_players!D:D,MATCH($A175,league_players!$A:$A,0))</f>
        <v>Ong</v>
      </c>
      <c r="N175" s="1">
        <v>45316</v>
      </c>
      <c r="O175" s="1">
        <f t="shared" si="2"/>
        <v>45318</v>
      </c>
    </row>
    <row r="176" spans="1:15" x14ac:dyDescent="0.2">
      <c r="A176" t="s">
        <v>222</v>
      </c>
      <c r="B176">
        <v>24</v>
      </c>
      <c r="C176">
        <v>5</v>
      </c>
      <c r="D176">
        <v>77</v>
      </c>
      <c r="E176">
        <v>101</v>
      </c>
      <c r="F176">
        <v>1</v>
      </c>
      <c r="G176">
        <v>25</v>
      </c>
      <c r="H176">
        <v>5</v>
      </c>
      <c r="I176" t="s">
        <v>487</v>
      </c>
      <c r="J176" s="6">
        <v>45292</v>
      </c>
      <c r="K176" s="1">
        <v>45317</v>
      </c>
      <c r="L176" t="str">
        <f>INDEX(league_players!C:C,MATCH($A176,league_players!$A:$A,0))</f>
        <v>Kelvin</v>
      </c>
      <c r="M176" t="str">
        <f>INDEX(league_players!D:D,MATCH($A176,league_players!$A:$A,0))</f>
        <v>Foo</v>
      </c>
      <c r="N176" s="1">
        <v>45316</v>
      </c>
      <c r="O176" s="1">
        <f t="shared" si="2"/>
        <v>45318</v>
      </c>
    </row>
    <row r="177" spans="1:15" x14ac:dyDescent="0.2">
      <c r="A177" t="s">
        <v>126</v>
      </c>
      <c r="B177">
        <v>15.5</v>
      </c>
      <c r="C177">
        <v>14</v>
      </c>
      <c r="D177">
        <v>86</v>
      </c>
      <c r="E177">
        <v>102</v>
      </c>
      <c r="F177">
        <v>1</v>
      </c>
      <c r="G177">
        <v>16.5</v>
      </c>
      <c r="H177">
        <v>5</v>
      </c>
      <c r="I177" t="s">
        <v>486</v>
      </c>
      <c r="J177" s="6">
        <v>45292</v>
      </c>
      <c r="K177" s="1">
        <v>45317</v>
      </c>
      <c r="L177" t="str">
        <f>INDEX(league_players!C:C,MATCH($A177,league_players!$A:$A,0))</f>
        <v>Elke</v>
      </c>
      <c r="M177" t="str">
        <f>INDEX(league_players!D:D,MATCH($A177,league_players!$A:$A,0))</f>
        <v>Biechele</v>
      </c>
      <c r="N177" s="1">
        <v>45316</v>
      </c>
      <c r="O177" s="1">
        <f t="shared" si="2"/>
        <v>45318</v>
      </c>
    </row>
    <row r="178" spans="1:15" x14ac:dyDescent="0.2">
      <c r="A178" t="s">
        <v>320</v>
      </c>
      <c r="B178">
        <v>22</v>
      </c>
      <c r="C178">
        <v>8</v>
      </c>
      <c r="D178">
        <v>80</v>
      </c>
      <c r="E178">
        <v>102</v>
      </c>
      <c r="F178">
        <v>1</v>
      </c>
      <c r="G178">
        <v>23</v>
      </c>
      <c r="H178">
        <v>5</v>
      </c>
      <c r="I178" t="s">
        <v>487</v>
      </c>
      <c r="J178" s="6">
        <v>45292</v>
      </c>
      <c r="K178" s="1">
        <v>45317</v>
      </c>
      <c r="L178" t="str">
        <f>INDEX(league_players!C:C,MATCH($A178,league_players!$A:$A,0))</f>
        <v>Rick</v>
      </c>
      <c r="M178" t="str">
        <f>INDEX(league_players!D:D,MATCH($A178,league_players!$A:$A,0))</f>
        <v>Browne</v>
      </c>
      <c r="N178" s="1">
        <v>45316</v>
      </c>
      <c r="O178" s="1">
        <f t="shared" si="2"/>
        <v>45318</v>
      </c>
    </row>
    <row r="179" spans="1:15" x14ac:dyDescent="0.2">
      <c r="A179" t="s">
        <v>168</v>
      </c>
      <c r="B179">
        <v>24</v>
      </c>
      <c r="C179">
        <v>7</v>
      </c>
      <c r="D179">
        <v>79</v>
      </c>
      <c r="E179">
        <v>103</v>
      </c>
      <c r="F179">
        <v>1</v>
      </c>
      <c r="G179">
        <v>25</v>
      </c>
      <c r="H179">
        <v>5</v>
      </c>
      <c r="I179" t="s">
        <v>487</v>
      </c>
      <c r="J179" s="6">
        <v>45292</v>
      </c>
      <c r="K179" s="1">
        <v>45317</v>
      </c>
      <c r="L179" t="str">
        <f>INDEX(league_players!C:C,MATCH($A179,league_players!$A:$A,0))</f>
        <v>Isabel</v>
      </c>
      <c r="M179" t="str">
        <f>INDEX(league_players!D:D,MATCH($A179,league_players!$A:$A,0))</f>
        <v>Koh</v>
      </c>
      <c r="N179" s="1">
        <v>45316</v>
      </c>
      <c r="O179" s="1">
        <f t="shared" si="2"/>
        <v>45318</v>
      </c>
    </row>
    <row r="180" spans="1:15" x14ac:dyDescent="0.2">
      <c r="A180" t="s">
        <v>160</v>
      </c>
      <c r="B180">
        <v>24</v>
      </c>
      <c r="C180">
        <v>8</v>
      </c>
      <c r="D180">
        <v>80</v>
      </c>
      <c r="E180">
        <v>104</v>
      </c>
      <c r="F180">
        <v>1</v>
      </c>
      <c r="G180">
        <v>25</v>
      </c>
      <c r="H180">
        <v>50</v>
      </c>
      <c r="I180" t="s">
        <v>486</v>
      </c>
      <c r="J180" s="6">
        <v>45292</v>
      </c>
      <c r="K180" s="1">
        <v>45317</v>
      </c>
      <c r="L180" t="str">
        <f>INDEX(league_players!C:C,MATCH($A180,league_players!$A:$A,0))</f>
        <v>Houl</v>
      </c>
      <c r="M180" t="str">
        <f>INDEX(league_players!D:D,MATCH($A180,league_players!$A:$A,0))</f>
        <v>Lee</v>
      </c>
      <c r="N180" s="1">
        <v>45316</v>
      </c>
      <c r="O180" s="1">
        <f t="shared" si="2"/>
        <v>45318</v>
      </c>
    </row>
    <row r="181" spans="1:15" x14ac:dyDescent="0.2">
      <c r="A181" t="s">
        <v>172</v>
      </c>
      <c r="B181">
        <v>25</v>
      </c>
      <c r="C181">
        <v>8</v>
      </c>
      <c r="D181">
        <v>80</v>
      </c>
      <c r="E181">
        <v>105</v>
      </c>
      <c r="F181">
        <v>0</v>
      </c>
      <c r="G181">
        <v>25</v>
      </c>
      <c r="H181">
        <v>5</v>
      </c>
      <c r="I181" t="s">
        <v>487</v>
      </c>
      <c r="J181" s="6">
        <v>45292</v>
      </c>
      <c r="K181" s="1">
        <v>45317</v>
      </c>
      <c r="L181" t="str">
        <f>INDEX(league_players!C:C,MATCH($A181,league_players!$A:$A,0))</f>
        <v>Jack</v>
      </c>
      <c r="M181" t="str">
        <f>INDEX(league_players!D:D,MATCH($A181,league_players!$A:$A,0))</f>
        <v>Ellis</v>
      </c>
      <c r="N181" s="1">
        <v>45316</v>
      </c>
      <c r="O181" s="1">
        <f t="shared" si="2"/>
        <v>45318</v>
      </c>
    </row>
    <row r="182" spans="1:15" x14ac:dyDescent="0.2">
      <c r="A182" t="s">
        <v>190</v>
      </c>
      <c r="B182">
        <v>25</v>
      </c>
      <c r="C182">
        <v>9</v>
      </c>
      <c r="D182">
        <v>81</v>
      </c>
      <c r="E182">
        <v>106</v>
      </c>
      <c r="F182">
        <v>0</v>
      </c>
      <c r="G182">
        <v>25</v>
      </c>
      <c r="H182">
        <v>30</v>
      </c>
      <c r="I182" t="s">
        <v>486</v>
      </c>
      <c r="J182" s="6">
        <v>45292</v>
      </c>
      <c r="K182" s="1">
        <v>45317</v>
      </c>
      <c r="L182" t="str">
        <f>INDEX(league_players!C:C,MATCH($A182,league_players!$A:$A,0))</f>
        <v>Jeff</v>
      </c>
      <c r="M182" t="str">
        <f>INDEX(league_players!D:D,MATCH($A182,league_players!$A:$A,0))</f>
        <v>Plein</v>
      </c>
      <c r="N182" s="1">
        <v>45316</v>
      </c>
      <c r="O182" s="1">
        <f t="shared" si="2"/>
        <v>45318</v>
      </c>
    </row>
    <row r="183" spans="1:15" x14ac:dyDescent="0.2">
      <c r="A183" t="s">
        <v>170</v>
      </c>
      <c r="B183">
        <v>25</v>
      </c>
      <c r="C183">
        <v>10</v>
      </c>
      <c r="D183">
        <v>82</v>
      </c>
      <c r="E183">
        <v>107</v>
      </c>
      <c r="F183">
        <v>0</v>
      </c>
      <c r="G183">
        <v>25</v>
      </c>
      <c r="H183">
        <v>5</v>
      </c>
      <c r="I183" t="s">
        <v>487</v>
      </c>
      <c r="J183" s="6">
        <v>45292</v>
      </c>
      <c r="K183" s="1">
        <v>45317</v>
      </c>
      <c r="L183" t="str">
        <f>INDEX(league_players!C:C,MATCH($A183,league_players!$A:$A,0))</f>
        <v>Ivy</v>
      </c>
      <c r="M183" t="str">
        <f>INDEX(league_players!D:D,MATCH($A183,league_players!$A:$A,0))</f>
        <v>Ng</v>
      </c>
      <c r="N183" s="1">
        <v>45316</v>
      </c>
      <c r="O183" s="1">
        <f t="shared" si="2"/>
        <v>45318</v>
      </c>
    </row>
    <row r="184" spans="1:15" x14ac:dyDescent="0.2">
      <c r="A184" t="s">
        <v>355</v>
      </c>
      <c r="B184">
        <v>24.5</v>
      </c>
      <c r="C184">
        <v>10</v>
      </c>
      <c r="D184">
        <v>82</v>
      </c>
      <c r="E184">
        <v>107</v>
      </c>
      <c r="F184">
        <v>0.5</v>
      </c>
      <c r="G184">
        <v>25</v>
      </c>
      <c r="H184">
        <v>20</v>
      </c>
      <c r="I184" t="s">
        <v>486</v>
      </c>
      <c r="J184" s="6">
        <v>45292</v>
      </c>
      <c r="K184" s="1">
        <v>45317</v>
      </c>
      <c r="L184" t="str">
        <f>INDEX(league_players!C:C,MATCH($A184,league_players!$A:$A,0))</f>
        <v>Simon</v>
      </c>
      <c r="M184" t="str">
        <f>INDEX(league_players!D:D,MATCH($A184,league_players!$A:$A,0))</f>
        <v>Van Dijk</v>
      </c>
      <c r="N184" s="1">
        <v>45316</v>
      </c>
      <c r="O184" s="1">
        <f t="shared" si="2"/>
        <v>45318</v>
      </c>
    </row>
    <row r="185" spans="1:15" x14ac:dyDescent="0.2">
      <c r="A185" t="s">
        <v>63</v>
      </c>
      <c r="B185">
        <v>21</v>
      </c>
      <c r="C185">
        <v>15</v>
      </c>
      <c r="D185">
        <v>87</v>
      </c>
      <c r="E185">
        <v>108</v>
      </c>
      <c r="F185">
        <v>1</v>
      </c>
      <c r="G185">
        <v>22</v>
      </c>
      <c r="H185">
        <v>5</v>
      </c>
      <c r="I185" t="s">
        <v>486</v>
      </c>
      <c r="J185" s="6">
        <v>45292</v>
      </c>
      <c r="K185" s="1">
        <v>45317</v>
      </c>
      <c r="L185" t="str">
        <f>INDEX(league_players!C:C,MATCH($A185,league_players!$A:$A,0))</f>
        <v>Brad</v>
      </c>
      <c r="M185" t="str">
        <f>INDEX(league_players!D:D,MATCH($A185,league_players!$A:$A,0))</f>
        <v>Jowers</v>
      </c>
      <c r="N185" s="1">
        <v>45316</v>
      </c>
      <c r="O185" s="1">
        <f t="shared" si="2"/>
        <v>45318</v>
      </c>
    </row>
    <row r="186" spans="1:15" x14ac:dyDescent="0.2">
      <c r="A186" t="s">
        <v>102</v>
      </c>
      <c r="B186">
        <v>25</v>
      </c>
      <c r="C186">
        <v>12</v>
      </c>
      <c r="D186">
        <v>84</v>
      </c>
      <c r="E186">
        <v>109</v>
      </c>
      <c r="F186">
        <v>0</v>
      </c>
      <c r="G186">
        <v>25</v>
      </c>
      <c r="H186">
        <v>5</v>
      </c>
      <c r="I186" t="s">
        <v>486</v>
      </c>
      <c r="J186" s="6">
        <v>45292</v>
      </c>
      <c r="K186" s="1">
        <v>45317</v>
      </c>
      <c r="L186" t="str">
        <f>INDEX(league_players!C:C,MATCH($A186,league_players!$A:$A,0))</f>
        <v>Darren</v>
      </c>
      <c r="M186" t="str">
        <f>INDEX(league_players!D:D,MATCH($A186,league_players!$A:$A,0))</f>
        <v>Measures</v>
      </c>
      <c r="N186" s="1">
        <v>45316</v>
      </c>
      <c r="O186" s="1">
        <f t="shared" si="2"/>
        <v>45318</v>
      </c>
    </row>
    <row r="187" spans="1:15" x14ac:dyDescent="0.2">
      <c r="A187" t="s">
        <v>242</v>
      </c>
      <c r="B187">
        <v>23</v>
      </c>
      <c r="C187">
        <v>16</v>
      </c>
      <c r="D187">
        <v>88</v>
      </c>
      <c r="E187">
        <v>111</v>
      </c>
      <c r="F187">
        <v>1</v>
      </c>
      <c r="G187">
        <v>24</v>
      </c>
      <c r="H187">
        <v>5</v>
      </c>
      <c r="I187" t="s">
        <v>486</v>
      </c>
      <c r="J187" s="6">
        <v>45292</v>
      </c>
      <c r="K187" s="1">
        <v>45317</v>
      </c>
      <c r="L187" t="str">
        <f>INDEX(league_players!C:C,MATCH($A187,league_players!$A:$A,0))</f>
        <v>Luke</v>
      </c>
      <c r="M187" t="str">
        <f>INDEX(league_players!D:D,MATCH($A187,league_players!$A:$A,0))</f>
        <v>Boland</v>
      </c>
      <c r="N187" s="1">
        <v>45316</v>
      </c>
      <c r="O187" s="1">
        <f t="shared" si="2"/>
        <v>45318</v>
      </c>
    </row>
    <row r="188" spans="1:15" x14ac:dyDescent="0.2">
      <c r="A188" t="s">
        <v>404</v>
      </c>
      <c r="B188">
        <v>20</v>
      </c>
      <c r="C188">
        <v>22</v>
      </c>
      <c r="D188">
        <v>94</v>
      </c>
      <c r="E188">
        <v>114</v>
      </c>
      <c r="F188">
        <v>1</v>
      </c>
      <c r="G188">
        <v>21</v>
      </c>
      <c r="H188">
        <v>5</v>
      </c>
      <c r="I188" t="s">
        <v>487</v>
      </c>
      <c r="J188" s="6">
        <v>45292</v>
      </c>
      <c r="K188" s="1">
        <v>45317</v>
      </c>
      <c r="L188" t="str">
        <f>INDEX(league_players!C:C,MATCH($A188,league_players!$A:$A,0))</f>
        <v>Yang</v>
      </c>
      <c r="M188" t="str">
        <f>INDEX(league_players!D:D,MATCH($A188,league_players!$A:$A,0))</f>
        <v>Kun</v>
      </c>
      <c r="N188" s="1">
        <v>45316</v>
      </c>
      <c r="O188" s="1">
        <f t="shared" si="2"/>
        <v>45318</v>
      </c>
    </row>
    <row r="189" spans="1:15" x14ac:dyDescent="0.2">
      <c r="A189" t="s">
        <v>197</v>
      </c>
      <c r="B189">
        <v>25</v>
      </c>
      <c r="C189">
        <v>18</v>
      </c>
      <c r="D189">
        <v>90</v>
      </c>
      <c r="E189">
        <v>115</v>
      </c>
      <c r="F189">
        <v>0</v>
      </c>
      <c r="G189">
        <v>25</v>
      </c>
      <c r="H189">
        <v>5</v>
      </c>
      <c r="I189" t="s">
        <v>486</v>
      </c>
      <c r="J189" s="6">
        <v>45292</v>
      </c>
      <c r="K189" s="1">
        <v>45317</v>
      </c>
      <c r="L189" t="str">
        <f>INDEX(league_players!C:C,MATCH($A189,league_players!$A:$A,0))</f>
        <v>John</v>
      </c>
      <c r="M189" t="str">
        <f>INDEX(league_players!D:D,MATCH($A189,league_players!$A:$A,0))</f>
        <v>Layburn</v>
      </c>
      <c r="N189" s="1">
        <v>45316</v>
      </c>
      <c r="O189" s="1">
        <f t="shared" si="2"/>
        <v>45318</v>
      </c>
    </row>
    <row r="190" spans="1:15" x14ac:dyDescent="0.2">
      <c r="A190" t="s">
        <v>220</v>
      </c>
      <c r="B190">
        <v>15</v>
      </c>
      <c r="C190">
        <v>28</v>
      </c>
      <c r="D190">
        <v>100</v>
      </c>
      <c r="E190">
        <v>115</v>
      </c>
      <c r="F190">
        <v>1</v>
      </c>
      <c r="G190">
        <v>16</v>
      </c>
      <c r="H190">
        <v>5</v>
      </c>
      <c r="I190" t="s">
        <v>487</v>
      </c>
      <c r="J190" s="6">
        <v>45292</v>
      </c>
      <c r="K190" s="1">
        <v>45317</v>
      </c>
      <c r="L190" t="str">
        <f>INDEX(league_players!C:C,MATCH($A190,league_players!$A:$A,0))</f>
        <v>Kelly-Ann</v>
      </c>
      <c r="M190" t="str">
        <f>INDEX(league_players!D:D,MATCH($A190,league_players!$A:$A,0))</f>
        <v>Mchugh</v>
      </c>
      <c r="N190" s="1">
        <v>45316</v>
      </c>
      <c r="O190" s="1">
        <f t="shared" si="2"/>
        <v>45318</v>
      </c>
    </row>
    <row r="191" spans="1:15" x14ac:dyDescent="0.2">
      <c r="A191" t="s">
        <v>61</v>
      </c>
      <c r="B191">
        <v>22</v>
      </c>
      <c r="C191">
        <v>23</v>
      </c>
      <c r="D191">
        <v>95</v>
      </c>
      <c r="E191">
        <v>117</v>
      </c>
      <c r="F191">
        <v>1</v>
      </c>
      <c r="G191">
        <v>23</v>
      </c>
      <c r="H191">
        <v>5</v>
      </c>
      <c r="I191" t="s">
        <v>486</v>
      </c>
      <c r="J191" s="6">
        <v>45292</v>
      </c>
      <c r="K191" s="1">
        <v>45317</v>
      </c>
      <c r="L191" t="str">
        <f>INDEX(league_players!C:C,MATCH($A191,league_players!$A:$A,0))</f>
        <v>BC</v>
      </c>
      <c r="M191" t="str">
        <f>INDEX(league_players!D:D,MATCH($A191,league_players!$A:$A,0))</f>
        <v>Tan</v>
      </c>
      <c r="N191" s="1">
        <v>45316</v>
      </c>
      <c r="O191" s="1">
        <f t="shared" si="2"/>
        <v>45318</v>
      </c>
    </row>
    <row r="192" spans="1:15" x14ac:dyDescent="0.2">
      <c r="A192" t="s">
        <v>276</v>
      </c>
      <c r="B192">
        <v>25</v>
      </c>
      <c r="C192">
        <v>20</v>
      </c>
      <c r="D192">
        <v>92</v>
      </c>
      <c r="E192">
        <v>117</v>
      </c>
      <c r="F192">
        <v>0</v>
      </c>
      <c r="G192">
        <v>25</v>
      </c>
      <c r="H192">
        <v>5</v>
      </c>
      <c r="I192" t="s">
        <v>486</v>
      </c>
      <c r="J192" s="6">
        <v>45292</v>
      </c>
      <c r="K192" s="1">
        <v>45317</v>
      </c>
      <c r="L192" t="str">
        <f>INDEX(league_players!C:C,MATCH($A192,league_players!$A:$A,0))</f>
        <v>Nicholas</v>
      </c>
      <c r="M192" t="str">
        <f>INDEX(league_players!D:D,MATCH($A192,league_players!$A:$A,0))</f>
        <v>Stipp</v>
      </c>
      <c r="N192" s="1">
        <v>45316</v>
      </c>
      <c r="O192" s="1">
        <f t="shared" si="2"/>
        <v>45318</v>
      </c>
    </row>
    <row r="193" spans="1:15" x14ac:dyDescent="0.2">
      <c r="A193" t="s">
        <v>372</v>
      </c>
      <c r="B193">
        <v>8.5</v>
      </c>
      <c r="C193">
        <v>-1</v>
      </c>
      <c r="D193">
        <v>71</v>
      </c>
      <c r="E193">
        <v>80</v>
      </c>
      <c r="F193">
        <v>-0.5</v>
      </c>
      <c r="G193">
        <v>8</v>
      </c>
      <c r="H193">
        <v>90</v>
      </c>
      <c r="I193" t="s">
        <v>486</v>
      </c>
      <c r="J193" s="6">
        <v>45323</v>
      </c>
      <c r="K193" s="1">
        <v>45345</v>
      </c>
      <c r="L193" t="str">
        <f>INDEX(league_players!C:C,MATCH($A193,league_players!$A:$A,0))</f>
        <v>Stuart</v>
      </c>
      <c r="M193" t="str">
        <f>INDEX(league_players!D:D,MATCH($A193,league_players!$A:$A,0))</f>
        <v>Andrew</v>
      </c>
      <c r="N193" s="1">
        <v>45344</v>
      </c>
      <c r="O193" s="1">
        <f t="shared" si="2"/>
        <v>45346</v>
      </c>
    </row>
    <row r="194" spans="1:15" x14ac:dyDescent="0.2">
      <c r="A194" t="s">
        <v>369</v>
      </c>
      <c r="B194">
        <v>13</v>
      </c>
      <c r="C194">
        <v>-4</v>
      </c>
      <c r="D194">
        <v>68</v>
      </c>
      <c r="E194">
        <v>81</v>
      </c>
      <c r="F194">
        <v>-2</v>
      </c>
      <c r="G194">
        <v>11</v>
      </c>
      <c r="H194">
        <v>5</v>
      </c>
      <c r="I194" t="s">
        <v>487</v>
      </c>
      <c r="J194" s="6">
        <v>45323</v>
      </c>
      <c r="K194" s="1">
        <v>45345</v>
      </c>
      <c r="L194" t="str">
        <f>INDEX(league_players!C:C,MATCH($A194,league_players!$A:$A,0))</f>
        <v>Steve</v>
      </c>
      <c r="M194" t="str">
        <f>INDEX(league_players!D:D,MATCH($A194,league_players!$A:$A,0))</f>
        <v>Settle</v>
      </c>
      <c r="N194" s="1">
        <v>45344</v>
      </c>
      <c r="O194" s="1">
        <f t="shared" si="2"/>
        <v>45346</v>
      </c>
    </row>
    <row r="195" spans="1:15" x14ac:dyDescent="0.2">
      <c r="A195" t="s">
        <v>136</v>
      </c>
      <c r="B195">
        <v>14</v>
      </c>
      <c r="C195">
        <v>3</v>
      </c>
      <c r="D195">
        <v>75</v>
      </c>
      <c r="E195">
        <v>89</v>
      </c>
      <c r="F195">
        <v>1</v>
      </c>
      <c r="G195">
        <v>15</v>
      </c>
      <c r="H195">
        <v>5</v>
      </c>
      <c r="I195" t="s">
        <v>487</v>
      </c>
      <c r="J195" s="6">
        <v>45323</v>
      </c>
      <c r="K195" s="1">
        <v>45345</v>
      </c>
      <c r="L195" t="str">
        <f>INDEX(league_players!C:C,MATCH($A195,league_players!$A:$A,0))</f>
        <v>Garrett</v>
      </c>
      <c r="M195" t="str">
        <f>INDEX(league_players!D:D,MATCH($A195,league_players!$A:$A,0))</f>
        <v>Lim</v>
      </c>
      <c r="N195" s="1">
        <v>45344</v>
      </c>
      <c r="O195" s="1">
        <f t="shared" ref="O195:O250" si="3">K195+1</f>
        <v>45346</v>
      </c>
    </row>
    <row r="196" spans="1:15" x14ac:dyDescent="0.2">
      <c r="A196" t="s">
        <v>184</v>
      </c>
      <c r="B196">
        <v>18</v>
      </c>
      <c r="C196">
        <v>-1</v>
      </c>
      <c r="D196">
        <v>71</v>
      </c>
      <c r="E196">
        <v>89</v>
      </c>
      <c r="F196">
        <v>-0.5</v>
      </c>
      <c r="G196">
        <v>17.5</v>
      </c>
      <c r="H196">
        <v>5</v>
      </c>
      <c r="I196" t="s">
        <v>487</v>
      </c>
      <c r="J196" s="6">
        <v>45323</v>
      </c>
      <c r="K196" s="1">
        <v>45345</v>
      </c>
      <c r="L196" t="str">
        <f>INDEX(league_players!C:C,MATCH($A196,league_players!$A:$A,0))</f>
        <v>Jason</v>
      </c>
      <c r="M196" t="str">
        <f>INDEX(league_players!D:D,MATCH($A196,league_players!$A:$A,0))</f>
        <v>Ving</v>
      </c>
      <c r="N196" s="1">
        <v>45344</v>
      </c>
      <c r="O196" s="1">
        <f t="shared" si="3"/>
        <v>45346</v>
      </c>
    </row>
    <row r="197" spans="1:15" x14ac:dyDescent="0.2">
      <c r="A197" t="s">
        <v>216</v>
      </c>
      <c r="B197">
        <v>15.1</v>
      </c>
      <c r="C197">
        <v>3</v>
      </c>
      <c r="D197">
        <v>75</v>
      </c>
      <c r="E197">
        <v>90</v>
      </c>
      <c r="F197">
        <v>1</v>
      </c>
      <c r="G197">
        <v>16.100000000000001</v>
      </c>
      <c r="H197">
        <v>60</v>
      </c>
      <c r="I197" t="s">
        <v>486</v>
      </c>
      <c r="J197" s="6">
        <v>45323</v>
      </c>
      <c r="K197" s="1">
        <v>45345</v>
      </c>
      <c r="L197" t="str">
        <f>INDEX(league_players!C:C,MATCH($A197,league_players!$A:$A,0))</f>
        <v>Karl</v>
      </c>
      <c r="M197" t="str">
        <f>INDEX(league_players!D:D,MATCH($A197,league_players!$A:$A,0))</f>
        <v>Cowman</v>
      </c>
      <c r="N197" s="1">
        <v>45344</v>
      </c>
      <c r="O197" s="1">
        <f t="shared" si="3"/>
        <v>45346</v>
      </c>
    </row>
    <row r="198" spans="1:15" x14ac:dyDescent="0.2">
      <c r="A198" t="s">
        <v>5</v>
      </c>
      <c r="B198">
        <v>25</v>
      </c>
      <c r="C198">
        <v>-4</v>
      </c>
      <c r="D198">
        <v>68</v>
      </c>
      <c r="E198">
        <v>93</v>
      </c>
      <c r="F198">
        <v>-2</v>
      </c>
      <c r="G198">
        <v>23</v>
      </c>
      <c r="H198">
        <v>100</v>
      </c>
      <c r="I198" t="s">
        <v>486</v>
      </c>
      <c r="J198" s="6">
        <v>45323</v>
      </c>
      <c r="K198" s="1">
        <v>45345</v>
      </c>
      <c r="L198" t="str">
        <f>INDEX(league_players!C:C,MATCH($A198,league_players!$A:$A,0))</f>
        <v>Edward</v>
      </c>
      <c r="M198" t="str">
        <f>INDEX(league_players!D:D,MATCH($A198,league_players!$A:$A,0))</f>
        <v>Mills</v>
      </c>
      <c r="N198" s="1">
        <v>45344</v>
      </c>
      <c r="O198" s="1">
        <f t="shared" si="3"/>
        <v>45346</v>
      </c>
    </row>
    <row r="199" spans="1:15" x14ac:dyDescent="0.2">
      <c r="A199" t="s">
        <v>126</v>
      </c>
      <c r="B199">
        <v>16.5</v>
      </c>
      <c r="C199">
        <v>6</v>
      </c>
      <c r="D199">
        <v>78</v>
      </c>
      <c r="E199">
        <v>95</v>
      </c>
      <c r="F199">
        <v>1</v>
      </c>
      <c r="G199">
        <v>17.5</v>
      </c>
      <c r="H199">
        <v>15</v>
      </c>
      <c r="I199" t="s">
        <v>486</v>
      </c>
      <c r="J199" s="6">
        <v>45323</v>
      </c>
      <c r="K199" s="1">
        <v>45345</v>
      </c>
      <c r="L199" t="str">
        <f>INDEX(league_players!C:C,MATCH($A199,league_players!$A:$A,0))</f>
        <v>Elke</v>
      </c>
      <c r="M199" t="str">
        <f>INDEX(league_players!D:D,MATCH($A199,league_players!$A:$A,0))</f>
        <v>Biechele</v>
      </c>
      <c r="N199" s="1">
        <v>45344</v>
      </c>
      <c r="O199" s="1">
        <f t="shared" si="3"/>
        <v>45346</v>
      </c>
    </row>
    <row r="200" spans="1:15" x14ac:dyDescent="0.2">
      <c r="A200" t="s">
        <v>406</v>
      </c>
      <c r="B200">
        <v>20</v>
      </c>
      <c r="C200">
        <v>3</v>
      </c>
      <c r="D200">
        <v>75</v>
      </c>
      <c r="E200">
        <v>95</v>
      </c>
      <c r="F200">
        <v>1</v>
      </c>
      <c r="G200">
        <v>21</v>
      </c>
      <c r="H200">
        <v>5</v>
      </c>
      <c r="I200" t="s">
        <v>487</v>
      </c>
      <c r="J200" s="6">
        <v>45323</v>
      </c>
      <c r="K200" s="1">
        <v>45345</v>
      </c>
      <c r="L200" t="str">
        <f>INDEX(league_players!C:C,MATCH($A200,league_players!$A:$A,0))</f>
        <v>Yash</v>
      </c>
      <c r="M200" t="str">
        <f>INDEX(league_players!D:D,MATCH($A200,league_players!$A:$A,0))</f>
        <v>Wardhan</v>
      </c>
      <c r="N200" s="1">
        <v>45344</v>
      </c>
      <c r="O200" s="1">
        <f t="shared" si="3"/>
        <v>45346</v>
      </c>
    </row>
    <row r="201" spans="1:15" x14ac:dyDescent="0.2">
      <c r="A201" t="s">
        <v>65</v>
      </c>
      <c r="B201">
        <v>25</v>
      </c>
      <c r="C201">
        <v>-1</v>
      </c>
      <c r="D201">
        <v>71</v>
      </c>
      <c r="E201">
        <v>96</v>
      </c>
      <c r="F201">
        <v>-0.5</v>
      </c>
      <c r="G201">
        <v>24.5</v>
      </c>
      <c r="H201">
        <v>5</v>
      </c>
      <c r="I201" t="s">
        <v>487</v>
      </c>
      <c r="J201" s="6">
        <v>45323</v>
      </c>
      <c r="K201" s="1">
        <v>45345</v>
      </c>
      <c r="L201" t="str">
        <f>INDEX(league_players!C:C,MATCH($A201,league_players!$A:$A,0))</f>
        <v>Brian</v>
      </c>
      <c r="M201" t="str">
        <f>INDEX(league_players!D:D,MATCH($A201,league_players!$A:$A,0))</f>
        <v>Brit</v>
      </c>
      <c r="N201" s="1">
        <v>45344</v>
      </c>
      <c r="O201" s="1">
        <f t="shared" si="3"/>
        <v>45346</v>
      </c>
    </row>
    <row r="202" spans="1:15" x14ac:dyDescent="0.2">
      <c r="A202" t="s">
        <v>318</v>
      </c>
      <c r="B202">
        <v>18</v>
      </c>
      <c r="C202">
        <v>6</v>
      </c>
      <c r="D202">
        <v>78</v>
      </c>
      <c r="E202">
        <v>96</v>
      </c>
      <c r="F202">
        <v>1</v>
      </c>
      <c r="G202">
        <v>19</v>
      </c>
      <c r="H202">
        <v>15</v>
      </c>
      <c r="I202" t="s">
        <v>486</v>
      </c>
      <c r="J202" s="6">
        <v>45323</v>
      </c>
      <c r="K202" s="1">
        <v>45345</v>
      </c>
      <c r="L202" t="str">
        <f>INDEX(league_players!C:C,MATCH($A202,league_players!$A:$A,0))</f>
        <v>Richard</v>
      </c>
      <c r="M202" t="str">
        <f>INDEX(league_players!D:D,MATCH($A202,league_players!$A:$A,0))</f>
        <v>Cogswell</v>
      </c>
      <c r="N202" s="1">
        <v>45344</v>
      </c>
      <c r="O202" s="1">
        <f t="shared" si="3"/>
        <v>45346</v>
      </c>
    </row>
    <row r="203" spans="1:15" x14ac:dyDescent="0.2">
      <c r="A203" t="s">
        <v>172</v>
      </c>
      <c r="B203">
        <v>25</v>
      </c>
      <c r="C203">
        <v>0</v>
      </c>
      <c r="D203">
        <v>72</v>
      </c>
      <c r="E203">
        <v>97</v>
      </c>
      <c r="F203">
        <v>0</v>
      </c>
      <c r="G203">
        <v>25</v>
      </c>
      <c r="H203">
        <v>75</v>
      </c>
      <c r="I203" t="s">
        <v>486</v>
      </c>
      <c r="J203" s="6">
        <v>45323</v>
      </c>
      <c r="K203" s="1">
        <v>45345</v>
      </c>
      <c r="L203" t="str">
        <f>INDEX(league_players!C:C,MATCH($A203,league_players!$A:$A,0))</f>
        <v>Jack</v>
      </c>
      <c r="M203" t="str">
        <f>INDEX(league_players!D:D,MATCH($A203,league_players!$A:$A,0))</f>
        <v>Ellis</v>
      </c>
      <c r="N203" s="1">
        <v>45344</v>
      </c>
      <c r="O203" s="1">
        <f t="shared" si="3"/>
        <v>45346</v>
      </c>
    </row>
    <row r="204" spans="1:15" x14ac:dyDescent="0.2">
      <c r="A204" t="s">
        <v>44</v>
      </c>
      <c r="B204">
        <v>17</v>
      </c>
      <c r="C204">
        <v>10</v>
      </c>
      <c r="D204">
        <v>82</v>
      </c>
      <c r="E204">
        <v>99</v>
      </c>
      <c r="F204">
        <v>1</v>
      </c>
      <c r="G204">
        <v>18</v>
      </c>
      <c r="H204">
        <v>5</v>
      </c>
      <c r="I204" t="s">
        <v>486</v>
      </c>
      <c r="J204" s="6">
        <v>45323</v>
      </c>
      <c r="K204" s="1">
        <v>45345</v>
      </c>
      <c r="L204" t="str">
        <f>INDEX(league_players!C:C,MATCH($A204,league_players!$A:$A,0))</f>
        <v>Annabelle</v>
      </c>
      <c r="M204" t="str">
        <f>INDEX(league_players!D:D,MATCH($A204,league_players!$A:$A,0))</f>
        <v>Lim</v>
      </c>
      <c r="N204" s="1">
        <v>45344</v>
      </c>
      <c r="O204" s="1">
        <f t="shared" si="3"/>
        <v>45346</v>
      </c>
    </row>
    <row r="205" spans="1:15" x14ac:dyDescent="0.2">
      <c r="A205" t="s">
        <v>298</v>
      </c>
      <c r="B205">
        <v>22</v>
      </c>
      <c r="C205">
        <v>5</v>
      </c>
      <c r="D205">
        <v>77</v>
      </c>
      <c r="E205">
        <v>99</v>
      </c>
      <c r="F205">
        <v>1</v>
      </c>
      <c r="G205">
        <v>23</v>
      </c>
      <c r="H205">
        <v>5</v>
      </c>
      <c r="I205" t="s">
        <v>487</v>
      </c>
      <c r="J205" s="6">
        <v>45323</v>
      </c>
      <c r="K205" s="1">
        <v>45345</v>
      </c>
      <c r="L205" t="str">
        <f>INDEX(league_players!C:C,MATCH($A205,league_players!$A:$A,0))</f>
        <v>Peter</v>
      </c>
      <c r="M205" t="str">
        <f>INDEX(league_players!D:D,MATCH($A205,league_players!$A:$A,0))</f>
        <v>Yung-Hok</v>
      </c>
      <c r="N205" s="1">
        <v>45344</v>
      </c>
      <c r="O205" s="1">
        <f t="shared" si="3"/>
        <v>45346</v>
      </c>
    </row>
    <row r="206" spans="1:15" x14ac:dyDescent="0.2">
      <c r="A206" t="s">
        <v>42</v>
      </c>
      <c r="B206">
        <v>15</v>
      </c>
      <c r="C206">
        <v>13</v>
      </c>
      <c r="D206">
        <v>85</v>
      </c>
      <c r="E206">
        <v>100</v>
      </c>
      <c r="F206">
        <v>1</v>
      </c>
      <c r="G206">
        <v>16</v>
      </c>
      <c r="H206">
        <v>5</v>
      </c>
      <c r="I206" t="s">
        <v>487</v>
      </c>
      <c r="J206" s="6">
        <v>45323</v>
      </c>
      <c r="K206" s="1">
        <v>45345</v>
      </c>
      <c r="L206" t="str">
        <f>INDEX(league_players!C:C,MATCH($A206,league_players!$A:$A,0))</f>
        <v>Andrew</v>
      </c>
      <c r="M206" t="str">
        <f>INDEX(league_players!D:D,MATCH($A206,league_players!$A:$A,0))</f>
        <v>Stearns</v>
      </c>
      <c r="N206" s="1">
        <v>45344</v>
      </c>
      <c r="O206" s="1">
        <f t="shared" si="3"/>
        <v>45346</v>
      </c>
    </row>
    <row r="207" spans="1:15" x14ac:dyDescent="0.2">
      <c r="A207" t="s">
        <v>45</v>
      </c>
      <c r="B207">
        <v>28</v>
      </c>
      <c r="C207">
        <v>0</v>
      </c>
      <c r="D207">
        <v>72</v>
      </c>
      <c r="E207">
        <v>100</v>
      </c>
      <c r="F207">
        <v>0</v>
      </c>
      <c r="G207">
        <v>28</v>
      </c>
      <c r="H207">
        <v>75</v>
      </c>
      <c r="I207" t="s">
        <v>486</v>
      </c>
      <c r="J207" s="6">
        <v>45323</v>
      </c>
      <c r="K207" s="1">
        <v>45345</v>
      </c>
      <c r="L207" t="str">
        <f>INDEX(league_players!C:C,MATCH($A207,league_players!$A:$A,0))</f>
        <v>Annie</v>
      </c>
      <c r="M207" t="str">
        <f>INDEX(league_players!D:D,MATCH($A207,league_players!$A:$A,0))</f>
        <v>Bang</v>
      </c>
      <c r="N207" s="1">
        <v>45344</v>
      </c>
      <c r="O207" s="1">
        <f t="shared" si="3"/>
        <v>45346</v>
      </c>
    </row>
    <row r="208" spans="1:15" x14ac:dyDescent="0.2">
      <c r="A208" t="s">
        <v>242</v>
      </c>
      <c r="B208">
        <v>24</v>
      </c>
      <c r="C208">
        <v>4</v>
      </c>
      <c r="D208">
        <v>76</v>
      </c>
      <c r="E208">
        <v>100</v>
      </c>
      <c r="F208">
        <v>1</v>
      </c>
      <c r="G208">
        <v>25</v>
      </c>
      <c r="H208">
        <v>50</v>
      </c>
      <c r="I208" t="s">
        <v>486</v>
      </c>
      <c r="J208" s="6">
        <v>45323</v>
      </c>
      <c r="K208" s="1">
        <v>45345</v>
      </c>
      <c r="L208" t="str">
        <f>INDEX(league_players!C:C,MATCH($A208,league_players!$A:$A,0))</f>
        <v>Luke</v>
      </c>
      <c r="M208" t="str">
        <f>INDEX(league_players!D:D,MATCH($A208,league_players!$A:$A,0))</f>
        <v>Boland</v>
      </c>
      <c r="N208" s="1">
        <v>45344</v>
      </c>
      <c r="O208" s="1">
        <f t="shared" si="3"/>
        <v>45346</v>
      </c>
    </row>
    <row r="209" spans="1:15" x14ac:dyDescent="0.2">
      <c r="A209" t="s">
        <v>320</v>
      </c>
      <c r="B209">
        <v>23</v>
      </c>
      <c r="C209">
        <v>5</v>
      </c>
      <c r="D209">
        <v>77</v>
      </c>
      <c r="E209">
        <v>100</v>
      </c>
      <c r="F209">
        <v>1</v>
      </c>
      <c r="G209">
        <v>24</v>
      </c>
      <c r="H209">
        <v>35</v>
      </c>
      <c r="I209" t="s">
        <v>486</v>
      </c>
      <c r="J209" s="6">
        <v>45323</v>
      </c>
      <c r="K209" s="1">
        <v>45345</v>
      </c>
      <c r="L209" t="str">
        <f>INDEX(league_players!C:C,MATCH($A209,league_players!$A:$A,0))</f>
        <v>Rick</v>
      </c>
      <c r="M209" t="str">
        <f>INDEX(league_players!D:D,MATCH($A209,league_players!$A:$A,0))</f>
        <v>Browne</v>
      </c>
      <c r="N209" s="1">
        <v>45344</v>
      </c>
      <c r="O209" s="1">
        <f t="shared" si="3"/>
        <v>45346</v>
      </c>
    </row>
    <row r="210" spans="1:15" x14ac:dyDescent="0.2">
      <c r="A210" t="s">
        <v>190</v>
      </c>
      <c r="B210">
        <v>25</v>
      </c>
      <c r="C210">
        <v>5</v>
      </c>
      <c r="D210">
        <v>77</v>
      </c>
      <c r="E210">
        <v>102</v>
      </c>
      <c r="F210">
        <v>0</v>
      </c>
      <c r="G210">
        <v>25</v>
      </c>
      <c r="H210">
        <v>35</v>
      </c>
      <c r="I210" t="s">
        <v>486</v>
      </c>
      <c r="J210" s="6">
        <v>45323</v>
      </c>
      <c r="K210" s="1">
        <v>45345</v>
      </c>
      <c r="L210" t="str">
        <f>INDEX(league_players!C:C,MATCH($A210,league_players!$A:$A,0))</f>
        <v>Jeff</v>
      </c>
      <c r="M210" t="str">
        <f>INDEX(league_players!D:D,MATCH($A210,league_players!$A:$A,0))</f>
        <v>Plein</v>
      </c>
      <c r="N210" s="1">
        <v>45344</v>
      </c>
      <c r="O210" s="1">
        <f t="shared" si="3"/>
        <v>45346</v>
      </c>
    </row>
    <row r="211" spans="1:15" x14ac:dyDescent="0.2">
      <c r="A211" t="s">
        <v>236</v>
      </c>
      <c r="B211">
        <v>28</v>
      </c>
      <c r="C211">
        <v>2</v>
      </c>
      <c r="D211">
        <v>74</v>
      </c>
      <c r="E211">
        <v>102</v>
      </c>
      <c r="F211">
        <v>0</v>
      </c>
      <c r="G211">
        <v>28</v>
      </c>
      <c r="H211">
        <v>5</v>
      </c>
      <c r="I211" t="s">
        <v>487</v>
      </c>
      <c r="J211" s="6">
        <v>45323</v>
      </c>
      <c r="K211" s="1">
        <v>45345</v>
      </c>
      <c r="L211" t="str">
        <f>INDEX(league_players!C:C,MATCH($A211,league_players!$A:$A,0))</f>
        <v>Laura</v>
      </c>
      <c r="M211" t="str">
        <f>INDEX(league_players!D:D,MATCH($A211,league_players!$A:$A,0))</f>
        <v>Ryan</v>
      </c>
      <c r="N211" s="1">
        <v>45344</v>
      </c>
      <c r="O211" s="1">
        <f t="shared" si="3"/>
        <v>45346</v>
      </c>
    </row>
    <row r="212" spans="1:15" x14ac:dyDescent="0.2">
      <c r="A212" t="s">
        <v>345</v>
      </c>
      <c r="B212">
        <v>22</v>
      </c>
      <c r="C212">
        <v>8</v>
      </c>
      <c r="D212">
        <v>80</v>
      </c>
      <c r="E212">
        <v>102</v>
      </c>
      <c r="F212">
        <v>1</v>
      </c>
      <c r="G212">
        <v>23</v>
      </c>
      <c r="H212">
        <v>5</v>
      </c>
      <c r="I212" t="s">
        <v>487</v>
      </c>
      <c r="J212" s="6">
        <v>45323</v>
      </c>
      <c r="K212" s="1">
        <v>45345</v>
      </c>
      <c r="L212" t="str">
        <f>INDEX(league_players!C:C,MATCH($A212,league_players!$A:$A,0))</f>
        <v>Simon</v>
      </c>
      <c r="M212" t="str">
        <f>INDEX(league_players!D:D,MATCH($A212,league_players!$A:$A,0))</f>
        <v>Eglise</v>
      </c>
      <c r="N212" s="1">
        <v>45344</v>
      </c>
      <c r="O212" s="1">
        <f t="shared" si="3"/>
        <v>45346</v>
      </c>
    </row>
    <row r="213" spans="1:15" x14ac:dyDescent="0.2">
      <c r="A213" t="s">
        <v>326</v>
      </c>
      <c r="B213">
        <v>20</v>
      </c>
      <c r="C213">
        <v>11</v>
      </c>
      <c r="D213">
        <v>83</v>
      </c>
      <c r="E213">
        <v>103</v>
      </c>
      <c r="F213">
        <v>1</v>
      </c>
      <c r="G213">
        <v>21</v>
      </c>
      <c r="H213">
        <v>5</v>
      </c>
      <c r="I213" t="s">
        <v>487</v>
      </c>
      <c r="J213" s="6">
        <v>45323</v>
      </c>
      <c r="K213" s="1">
        <v>45345</v>
      </c>
      <c r="L213" t="str">
        <f>INDEX(league_players!C:C,MATCH($A213,league_players!$A:$A,0))</f>
        <v>Russ</v>
      </c>
      <c r="M213" t="str">
        <f>INDEX(league_players!D:D,MATCH($A213,league_players!$A:$A,0))</f>
        <v>Lee</v>
      </c>
      <c r="N213" s="1">
        <v>45344</v>
      </c>
      <c r="O213" s="1">
        <f t="shared" si="3"/>
        <v>45346</v>
      </c>
    </row>
    <row r="214" spans="1:15" x14ac:dyDescent="0.2">
      <c r="A214" t="s">
        <v>59</v>
      </c>
      <c r="B214">
        <v>23</v>
      </c>
      <c r="C214">
        <v>10</v>
      </c>
      <c r="D214">
        <v>82</v>
      </c>
      <c r="E214">
        <v>105</v>
      </c>
      <c r="F214">
        <v>1</v>
      </c>
      <c r="G214">
        <v>24</v>
      </c>
      <c r="H214">
        <v>5</v>
      </c>
      <c r="I214" t="s">
        <v>486</v>
      </c>
      <c r="J214" s="6">
        <v>45323</v>
      </c>
      <c r="K214" s="1">
        <v>45345</v>
      </c>
      <c r="L214" t="str">
        <f>INDEX(league_players!C:C,MATCH($A214,league_players!$A:$A,0))</f>
        <v>Barnaby</v>
      </c>
      <c r="M214" t="str">
        <f>INDEX(league_players!D:D,MATCH($A214,league_players!$A:$A,0))</f>
        <v>Dobson</v>
      </c>
      <c r="N214" s="1">
        <v>45344</v>
      </c>
      <c r="O214" s="1">
        <f t="shared" si="3"/>
        <v>45346</v>
      </c>
    </row>
    <row r="215" spans="1:15" x14ac:dyDescent="0.2">
      <c r="A215" t="s">
        <v>400</v>
      </c>
      <c r="B215">
        <v>20</v>
      </c>
      <c r="C215">
        <v>14</v>
      </c>
      <c r="D215">
        <v>86</v>
      </c>
      <c r="E215">
        <v>106</v>
      </c>
      <c r="F215">
        <v>1</v>
      </c>
      <c r="G215">
        <v>21</v>
      </c>
      <c r="H215">
        <v>5</v>
      </c>
      <c r="I215" t="s">
        <v>487</v>
      </c>
      <c r="J215" s="6">
        <v>45323</v>
      </c>
      <c r="K215" s="1">
        <v>45345</v>
      </c>
      <c r="L215" t="str">
        <f>INDEX(league_players!C:C,MATCH($A215,league_players!$A:$A,0))</f>
        <v>William</v>
      </c>
      <c r="M215" t="str">
        <f>INDEX(league_players!D:D,MATCH($A215,league_players!$A:$A,0))</f>
        <v>Nicholls</v>
      </c>
      <c r="N215" s="1">
        <v>45344</v>
      </c>
      <c r="O215" s="1">
        <f t="shared" si="3"/>
        <v>45346</v>
      </c>
    </row>
    <row r="216" spans="1:15" x14ac:dyDescent="0.2">
      <c r="A216" t="s">
        <v>300</v>
      </c>
      <c r="B216">
        <v>25</v>
      </c>
      <c r="C216">
        <v>12</v>
      </c>
      <c r="D216">
        <v>84</v>
      </c>
      <c r="E216">
        <v>109</v>
      </c>
      <c r="F216">
        <v>0</v>
      </c>
      <c r="G216">
        <v>25</v>
      </c>
      <c r="H216">
        <v>5</v>
      </c>
      <c r="I216" t="s">
        <v>487</v>
      </c>
      <c r="J216" s="6">
        <v>45323</v>
      </c>
      <c r="K216" s="1">
        <v>45345</v>
      </c>
      <c r="L216" t="str">
        <f>INDEX(league_players!C:C,MATCH($A216,league_players!$A:$A,0))</f>
        <v>Phil</v>
      </c>
      <c r="M216" t="str">
        <f>INDEX(league_players!D:D,MATCH($A216,league_players!$A:$A,0))</f>
        <v>Eden</v>
      </c>
      <c r="N216" s="1">
        <v>45344</v>
      </c>
      <c r="O216" s="1">
        <f t="shared" si="3"/>
        <v>45346</v>
      </c>
    </row>
    <row r="217" spans="1:15" x14ac:dyDescent="0.2">
      <c r="A217" t="s">
        <v>197</v>
      </c>
      <c r="B217">
        <v>25</v>
      </c>
      <c r="C217">
        <v>15</v>
      </c>
      <c r="D217">
        <v>87</v>
      </c>
      <c r="E217">
        <v>112</v>
      </c>
      <c r="F217">
        <v>0</v>
      </c>
      <c r="G217">
        <v>25</v>
      </c>
      <c r="H217">
        <v>5</v>
      </c>
      <c r="I217" t="s">
        <v>486</v>
      </c>
      <c r="J217" s="6">
        <v>45323</v>
      </c>
      <c r="K217" s="1">
        <v>45345</v>
      </c>
      <c r="L217" t="str">
        <f>INDEX(league_players!C:C,MATCH($A217,league_players!$A:$A,0))</f>
        <v>John</v>
      </c>
      <c r="M217" t="str">
        <f>INDEX(league_players!D:D,MATCH($A217,league_players!$A:$A,0))</f>
        <v>Layburn</v>
      </c>
      <c r="N217" s="1">
        <v>45344</v>
      </c>
      <c r="O217" s="1">
        <f t="shared" si="3"/>
        <v>45346</v>
      </c>
    </row>
    <row r="218" spans="1:15" x14ac:dyDescent="0.2">
      <c r="A218" t="s">
        <v>276</v>
      </c>
      <c r="B218">
        <v>25</v>
      </c>
      <c r="C218">
        <v>23</v>
      </c>
      <c r="D218">
        <v>95</v>
      </c>
      <c r="E218">
        <v>120</v>
      </c>
      <c r="F218">
        <v>0</v>
      </c>
      <c r="G218">
        <v>25</v>
      </c>
      <c r="H218">
        <v>5</v>
      </c>
      <c r="I218" t="s">
        <v>486</v>
      </c>
      <c r="J218" s="6">
        <v>45323</v>
      </c>
      <c r="K218" s="1">
        <v>45345</v>
      </c>
      <c r="L218" t="str">
        <f>INDEX(league_players!C:C,MATCH($A218,league_players!$A:$A,0))</f>
        <v>Nicholas</v>
      </c>
      <c r="M218" t="str">
        <f>INDEX(league_players!D:D,MATCH($A218,league_players!$A:$A,0))</f>
        <v>Stipp</v>
      </c>
      <c r="N218" s="1">
        <v>45344</v>
      </c>
      <c r="O218" s="1">
        <f t="shared" si="3"/>
        <v>45346</v>
      </c>
    </row>
    <row r="219" spans="1:15" x14ac:dyDescent="0.2">
      <c r="A219" t="s">
        <v>87</v>
      </c>
      <c r="B219">
        <v>28</v>
      </c>
      <c r="C219">
        <v>30</v>
      </c>
      <c r="D219">
        <v>102</v>
      </c>
      <c r="E219">
        <v>130</v>
      </c>
      <c r="F219">
        <v>0</v>
      </c>
      <c r="G219">
        <v>28</v>
      </c>
      <c r="H219">
        <v>5</v>
      </c>
      <c r="I219" t="s">
        <v>487</v>
      </c>
      <c r="J219" s="6">
        <v>45323</v>
      </c>
      <c r="K219" s="1">
        <v>45345</v>
      </c>
      <c r="L219" t="str">
        <f>INDEX(league_players!C:C,MATCH($A219,league_players!$A:$A,0))</f>
        <v>Christine</v>
      </c>
      <c r="M219" t="str">
        <f>INDEX(league_players!D:D,MATCH($A219,league_players!$A:$A,0))</f>
        <v>Yoong</v>
      </c>
      <c r="N219" s="1">
        <v>45344</v>
      </c>
      <c r="O219" s="1">
        <f t="shared" si="3"/>
        <v>45346</v>
      </c>
    </row>
    <row r="220" spans="1:15" x14ac:dyDescent="0.2">
      <c r="A220" t="s">
        <v>268</v>
      </c>
      <c r="B220">
        <v>25</v>
      </c>
      <c r="C220">
        <v>34</v>
      </c>
      <c r="D220">
        <v>106</v>
      </c>
      <c r="E220">
        <v>131</v>
      </c>
      <c r="F220">
        <v>0</v>
      </c>
      <c r="G220">
        <v>25</v>
      </c>
      <c r="H220">
        <v>5</v>
      </c>
      <c r="I220" t="s">
        <v>486</v>
      </c>
      <c r="J220" s="6">
        <v>45323</v>
      </c>
      <c r="K220" s="1">
        <v>45345</v>
      </c>
      <c r="L220" t="str">
        <f>INDEX(league_players!C:C,MATCH($A220,league_players!$A:$A,0))</f>
        <v>Mike</v>
      </c>
      <c r="M220" t="str">
        <f>INDEX(league_players!D:D,MATCH($A220,league_players!$A:$A,0))</f>
        <v>Pareles</v>
      </c>
      <c r="N220" s="1">
        <v>45344</v>
      </c>
      <c r="O220" s="1">
        <f t="shared" si="3"/>
        <v>45346</v>
      </c>
    </row>
    <row r="221" spans="1:15" x14ac:dyDescent="0.2">
      <c r="A221" t="s">
        <v>246</v>
      </c>
      <c r="B221">
        <v>28</v>
      </c>
      <c r="C221">
        <v>34</v>
      </c>
      <c r="D221">
        <v>106</v>
      </c>
      <c r="E221">
        <v>134</v>
      </c>
      <c r="F221">
        <v>0</v>
      </c>
      <c r="G221">
        <v>28</v>
      </c>
      <c r="H221">
        <v>5</v>
      </c>
      <c r="I221" t="s">
        <v>487</v>
      </c>
      <c r="J221" s="6">
        <v>45323</v>
      </c>
      <c r="K221" s="1">
        <v>45345</v>
      </c>
      <c r="L221" t="str">
        <f>INDEX(league_players!C:C,MATCH($A221,league_players!$A:$A,0))</f>
        <v>Madeleine</v>
      </c>
      <c r="M221" t="str">
        <f>INDEX(league_players!D:D,MATCH($A221,league_players!$A:$A,0))</f>
        <v>Vinuya</v>
      </c>
      <c r="N221" s="1">
        <v>45344</v>
      </c>
      <c r="O221" s="1">
        <f t="shared" si="3"/>
        <v>45346</v>
      </c>
    </row>
    <row r="222" spans="1:15" x14ac:dyDescent="0.2">
      <c r="A222" t="s">
        <v>165</v>
      </c>
      <c r="B222">
        <v>4</v>
      </c>
      <c r="C222">
        <v>0</v>
      </c>
      <c r="D222">
        <v>71</v>
      </c>
      <c r="E222">
        <v>75</v>
      </c>
      <c r="F222">
        <v>0</v>
      </c>
      <c r="G222">
        <v>4</v>
      </c>
      <c r="H222">
        <v>5</v>
      </c>
      <c r="I222" t="s">
        <v>487</v>
      </c>
      <c r="J222" s="6">
        <v>45352</v>
      </c>
      <c r="K222" s="1">
        <v>45373</v>
      </c>
      <c r="L222" t="str">
        <f>INDEX(league_players!C:C,MATCH($A222,league_players!$A:$A,0))</f>
        <v>Ian</v>
      </c>
      <c r="M222" t="str">
        <f>INDEX(league_players!D:D,MATCH($A222,league_players!$A:$A,0))</f>
        <v>Donald</v>
      </c>
      <c r="N222" s="1">
        <v>45372</v>
      </c>
      <c r="O222" s="1">
        <f t="shared" si="3"/>
        <v>45374</v>
      </c>
    </row>
    <row r="223" spans="1:15" x14ac:dyDescent="0.2">
      <c r="A223" t="s">
        <v>151</v>
      </c>
      <c r="B223">
        <v>9</v>
      </c>
      <c r="C223">
        <v>-4</v>
      </c>
      <c r="D223">
        <v>67</v>
      </c>
      <c r="E223">
        <v>76</v>
      </c>
      <c r="F223">
        <v>-2</v>
      </c>
      <c r="G223">
        <v>7</v>
      </c>
      <c r="H223">
        <v>90</v>
      </c>
      <c r="I223" s="6" t="s">
        <v>486</v>
      </c>
      <c r="J223" s="6">
        <v>45352</v>
      </c>
      <c r="K223" s="1">
        <v>45373</v>
      </c>
      <c r="L223" t="str">
        <f>INDEX(league_players!C:C,MATCH($A223,league_players!$A:$A,0))</f>
        <v>Grant</v>
      </c>
      <c r="M223" t="str">
        <f>INDEX(league_players!D:D,MATCH($A223,league_players!$A:$A,0))</f>
        <v>Bowman</v>
      </c>
      <c r="N223" s="1">
        <v>45372</v>
      </c>
      <c r="O223" s="1">
        <f t="shared" si="3"/>
        <v>45374</v>
      </c>
    </row>
    <row r="224" spans="1:15" x14ac:dyDescent="0.2">
      <c r="A224" t="s">
        <v>122</v>
      </c>
      <c r="B224">
        <v>6</v>
      </c>
      <c r="C224">
        <v>1</v>
      </c>
      <c r="D224">
        <v>72</v>
      </c>
      <c r="E224">
        <v>78</v>
      </c>
      <c r="F224">
        <v>1</v>
      </c>
      <c r="G224">
        <v>7</v>
      </c>
      <c r="H224">
        <v>5</v>
      </c>
      <c r="I224" t="s">
        <v>487</v>
      </c>
      <c r="J224" s="6">
        <v>45352</v>
      </c>
      <c r="K224" s="1">
        <v>45373</v>
      </c>
      <c r="L224" t="str">
        <f>INDEX(league_players!C:C,MATCH($A224,league_players!$A:$A,0))</f>
        <v>Edgar</v>
      </c>
      <c r="M224" t="str">
        <f>INDEX(league_players!D:D,MATCH($A224,league_players!$A:$A,0))</f>
        <v>Tavera</v>
      </c>
      <c r="N224" s="1">
        <v>45372</v>
      </c>
      <c r="O224" s="1">
        <f t="shared" si="3"/>
        <v>45374</v>
      </c>
    </row>
    <row r="225" spans="1:15" x14ac:dyDescent="0.2">
      <c r="A225" t="s">
        <v>390</v>
      </c>
      <c r="B225">
        <v>7</v>
      </c>
      <c r="C225">
        <v>2</v>
      </c>
      <c r="D225">
        <v>73</v>
      </c>
      <c r="E225">
        <v>80</v>
      </c>
      <c r="F225">
        <v>1</v>
      </c>
      <c r="G225">
        <v>8</v>
      </c>
      <c r="H225">
        <v>5</v>
      </c>
      <c r="I225" t="s">
        <v>487</v>
      </c>
      <c r="J225" s="6">
        <v>45352</v>
      </c>
      <c r="K225" s="1">
        <v>45373</v>
      </c>
      <c r="L225" t="str">
        <f>INDEX(league_players!C:C,MATCH($A225,league_players!$A:$A,0))</f>
        <v>Vincent</v>
      </c>
      <c r="M225" t="str">
        <f>INDEX(league_players!D:D,MATCH($A225,league_players!$A:$A,0))</f>
        <v>Banton</v>
      </c>
      <c r="N225" s="1">
        <v>45372</v>
      </c>
      <c r="O225" s="1">
        <f t="shared" si="3"/>
        <v>45374</v>
      </c>
    </row>
    <row r="226" spans="1:15" x14ac:dyDescent="0.2">
      <c r="A226" t="s">
        <v>24</v>
      </c>
      <c r="B226">
        <v>12</v>
      </c>
      <c r="C226">
        <v>0</v>
      </c>
      <c r="D226">
        <v>71</v>
      </c>
      <c r="E226">
        <v>83</v>
      </c>
      <c r="F226">
        <v>0</v>
      </c>
      <c r="G226">
        <v>12</v>
      </c>
      <c r="H226">
        <v>5</v>
      </c>
      <c r="I226" t="s">
        <v>487</v>
      </c>
      <c r="J226" s="6">
        <v>45352</v>
      </c>
      <c r="K226" s="1">
        <v>45373</v>
      </c>
      <c r="L226" t="str">
        <f>INDEX(league_players!C:C,MATCH($A226,league_players!$A:$A,0))</f>
        <v>Albert</v>
      </c>
      <c r="M226" t="str">
        <f>INDEX(league_players!D:D,MATCH($A226,league_players!$A:$A,0))</f>
        <v>Lim</v>
      </c>
      <c r="N226" s="1">
        <v>45372</v>
      </c>
      <c r="O226" s="1">
        <f t="shared" si="3"/>
        <v>45374</v>
      </c>
    </row>
    <row r="227" spans="1:15" x14ac:dyDescent="0.2">
      <c r="A227" t="s">
        <v>126</v>
      </c>
      <c r="B227">
        <v>17.5</v>
      </c>
      <c r="C227">
        <v>-2</v>
      </c>
      <c r="D227">
        <v>69</v>
      </c>
      <c r="E227">
        <v>87</v>
      </c>
      <c r="F227">
        <v>-1</v>
      </c>
      <c r="G227">
        <v>16.5</v>
      </c>
      <c r="H227">
        <v>70</v>
      </c>
      <c r="I227" t="s">
        <v>486</v>
      </c>
      <c r="J227" s="6">
        <v>45352</v>
      </c>
      <c r="K227" s="1">
        <v>45373</v>
      </c>
      <c r="L227" t="str">
        <f>INDEX(league_players!C:C,MATCH($A227,league_players!$A:$A,0))</f>
        <v>Elke</v>
      </c>
      <c r="M227" t="str">
        <f>INDEX(league_players!D:D,MATCH($A227,league_players!$A:$A,0))</f>
        <v>Biechele</v>
      </c>
      <c r="N227" s="1">
        <v>45372</v>
      </c>
      <c r="O227" s="1">
        <f t="shared" si="3"/>
        <v>45374</v>
      </c>
    </row>
    <row r="228" spans="1:15" x14ac:dyDescent="0.2">
      <c r="A228" t="s">
        <v>216</v>
      </c>
      <c r="B228">
        <v>16.100000000000001</v>
      </c>
      <c r="C228">
        <v>2</v>
      </c>
      <c r="D228">
        <v>73</v>
      </c>
      <c r="E228">
        <v>89</v>
      </c>
      <c r="F228">
        <v>1</v>
      </c>
      <c r="G228">
        <v>17.100000000000001</v>
      </c>
      <c r="H228">
        <v>35</v>
      </c>
      <c r="I228" t="s">
        <v>486</v>
      </c>
      <c r="J228" s="6">
        <v>45352</v>
      </c>
      <c r="K228" s="1">
        <v>45373</v>
      </c>
      <c r="L228" t="str">
        <f>INDEX(league_players!C:C,MATCH($A228,league_players!$A:$A,0))</f>
        <v>Karl</v>
      </c>
      <c r="M228" t="str">
        <f>INDEX(league_players!D:D,MATCH($A228,league_players!$A:$A,0))</f>
        <v>Cowman</v>
      </c>
      <c r="N228" s="1">
        <v>45372</v>
      </c>
      <c r="O228" s="1">
        <f t="shared" si="3"/>
        <v>45374</v>
      </c>
    </row>
    <row r="229" spans="1:15" x14ac:dyDescent="0.2">
      <c r="A229" t="s">
        <v>372</v>
      </c>
      <c r="B229">
        <v>8</v>
      </c>
      <c r="C229">
        <v>10</v>
      </c>
      <c r="D229">
        <v>81</v>
      </c>
      <c r="E229">
        <v>89</v>
      </c>
      <c r="F229">
        <v>1</v>
      </c>
      <c r="G229">
        <v>9</v>
      </c>
      <c r="H229">
        <v>5</v>
      </c>
      <c r="I229" t="s">
        <v>486</v>
      </c>
      <c r="J229" s="6">
        <v>45352</v>
      </c>
      <c r="K229" s="1">
        <v>45373</v>
      </c>
      <c r="L229" t="str">
        <f>INDEX(league_players!C:C,MATCH($A229,league_players!$A:$A,0))</f>
        <v>Stuart</v>
      </c>
      <c r="M229" t="str">
        <f>INDEX(league_players!D:D,MATCH($A229,league_players!$A:$A,0))</f>
        <v>Andrew</v>
      </c>
      <c r="N229" s="1">
        <v>45372</v>
      </c>
      <c r="O229" s="1">
        <f t="shared" si="3"/>
        <v>45374</v>
      </c>
    </row>
    <row r="230" spans="1:15" x14ac:dyDescent="0.2">
      <c r="A230" t="s">
        <v>59</v>
      </c>
      <c r="B230">
        <v>24</v>
      </c>
      <c r="C230">
        <v>-5</v>
      </c>
      <c r="D230">
        <v>66</v>
      </c>
      <c r="E230">
        <v>90</v>
      </c>
      <c r="F230">
        <v>-2.5</v>
      </c>
      <c r="G230">
        <v>21.5</v>
      </c>
      <c r="H230">
        <v>100</v>
      </c>
      <c r="I230" s="6" t="s">
        <v>486</v>
      </c>
      <c r="J230" s="6">
        <v>45352</v>
      </c>
      <c r="K230" s="1">
        <v>45373</v>
      </c>
      <c r="L230" t="str">
        <f>INDEX(league_players!C:C,MATCH($A230,league_players!$A:$A,0))</f>
        <v>Barnaby</v>
      </c>
      <c r="M230" t="str">
        <f>INDEX(league_players!D:D,MATCH($A230,league_players!$A:$A,0))</f>
        <v>Dobson</v>
      </c>
      <c r="N230" s="1">
        <v>45372</v>
      </c>
      <c r="O230" s="1">
        <f t="shared" si="3"/>
        <v>45374</v>
      </c>
    </row>
    <row r="231" spans="1:15" x14ac:dyDescent="0.2">
      <c r="A231" t="s">
        <v>278</v>
      </c>
      <c r="B231">
        <v>19</v>
      </c>
      <c r="C231">
        <v>1</v>
      </c>
      <c r="D231">
        <v>72</v>
      </c>
      <c r="E231">
        <v>91</v>
      </c>
      <c r="F231">
        <v>1</v>
      </c>
      <c r="G231">
        <v>20</v>
      </c>
      <c r="H231">
        <v>5</v>
      </c>
      <c r="I231" t="s">
        <v>487</v>
      </c>
      <c r="J231" s="6">
        <v>45352</v>
      </c>
      <c r="K231" s="1">
        <v>45373</v>
      </c>
      <c r="L231" t="str">
        <f>INDEX(league_players!C:C,MATCH($A231,league_players!$A:$A,0))</f>
        <v>Nick</v>
      </c>
      <c r="M231" t="str">
        <f>INDEX(league_players!D:D,MATCH($A231,league_players!$A:$A,0))</f>
        <v>Pelling</v>
      </c>
      <c r="N231" s="1">
        <v>45372</v>
      </c>
      <c r="O231" s="1">
        <f t="shared" si="3"/>
        <v>45374</v>
      </c>
    </row>
    <row r="232" spans="1:15" x14ac:dyDescent="0.2">
      <c r="A232" t="s">
        <v>102</v>
      </c>
      <c r="B232">
        <v>25</v>
      </c>
      <c r="C232">
        <v>-3</v>
      </c>
      <c r="D232">
        <v>68</v>
      </c>
      <c r="E232">
        <v>93</v>
      </c>
      <c r="F232">
        <v>-1.5</v>
      </c>
      <c r="G232">
        <v>23.5</v>
      </c>
      <c r="H232">
        <v>80</v>
      </c>
      <c r="I232" t="s">
        <v>486</v>
      </c>
      <c r="J232" s="6">
        <v>45352</v>
      </c>
      <c r="K232" s="1">
        <v>45373</v>
      </c>
      <c r="L232" t="str">
        <f>INDEX(league_players!C:C,MATCH($A232,league_players!$A:$A,0))</f>
        <v>Darren</v>
      </c>
      <c r="M232" t="str">
        <f>INDEX(league_players!D:D,MATCH($A232,league_players!$A:$A,0))</f>
        <v>Measures</v>
      </c>
      <c r="N232" s="1">
        <v>45372</v>
      </c>
      <c r="O232" s="1">
        <f t="shared" si="3"/>
        <v>45374</v>
      </c>
    </row>
    <row r="233" spans="1:15" x14ac:dyDescent="0.2">
      <c r="A233" t="s">
        <v>294</v>
      </c>
      <c r="B233">
        <v>21</v>
      </c>
      <c r="C233">
        <v>2</v>
      </c>
      <c r="D233">
        <v>73</v>
      </c>
      <c r="E233">
        <v>94</v>
      </c>
      <c r="F233">
        <v>1</v>
      </c>
      <c r="G233">
        <v>22</v>
      </c>
      <c r="H233">
        <v>35</v>
      </c>
      <c r="I233" t="s">
        <v>486</v>
      </c>
      <c r="J233" s="6">
        <v>45352</v>
      </c>
      <c r="K233" s="1">
        <v>45373</v>
      </c>
      <c r="L233" t="str">
        <f>INDEX(league_players!C:C,MATCH($A233,league_players!$A:$A,0))</f>
        <v>Peter</v>
      </c>
      <c r="M233" t="str">
        <f>INDEX(league_players!D:D,MATCH($A233,league_players!$A:$A,0))</f>
        <v>Ang Nielsen</v>
      </c>
      <c r="N233" s="1">
        <v>45372</v>
      </c>
      <c r="O233" s="1">
        <f t="shared" si="3"/>
        <v>45374</v>
      </c>
    </row>
    <row r="234" spans="1:15" x14ac:dyDescent="0.2">
      <c r="A234" t="s">
        <v>55</v>
      </c>
      <c r="B234">
        <v>17</v>
      </c>
      <c r="C234">
        <v>7</v>
      </c>
      <c r="D234">
        <v>78</v>
      </c>
      <c r="E234">
        <v>95</v>
      </c>
      <c r="F234">
        <v>1</v>
      </c>
      <c r="G234">
        <v>18</v>
      </c>
      <c r="H234">
        <v>5</v>
      </c>
      <c r="I234" t="s">
        <v>486</v>
      </c>
      <c r="J234" s="6">
        <v>45352</v>
      </c>
      <c r="K234" s="1">
        <v>45373</v>
      </c>
      <c r="L234" t="str">
        <f>INDEX(league_players!C:C,MATCH($A234,league_players!$A:$A,0))</f>
        <v>Ashley</v>
      </c>
      <c r="M234" t="str">
        <f>INDEX(league_players!D:D,MATCH($A234,league_players!$A:$A,0))</f>
        <v>Scifleet</v>
      </c>
      <c r="N234" s="1">
        <v>45372</v>
      </c>
      <c r="O234" s="1">
        <f t="shared" si="3"/>
        <v>45374</v>
      </c>
    </row>
    <row r="235" spans="1:15" x14ac:dyDescent="0.2">
      <c r="A235" t="s">
        <v>182</v>
      </c>
      <c r="B235">
        <v>23.5</v>
      </c>
      <c r="C235">
        <v>0</v>
      </c>
      <c r="D235">
        <v>71</v>
      </c>
      <c r="E235">
        <v>95</v>
      </c>
      <c r="F235">
        <v>0</v>
      </c>
      <c r="G235">
        <v>23.5</v>
      </c>
      <c r="H235">
        <v>50</v>
      </c>
      <c r="I235" t="s">
        <v>486</v>
      </c>
      <c r="J235" s="6">
        <v>45352</v>
      </c>
      <c r="K235" s="1">
        <v>45373</v>
      </c>
      <c r="L235" t="str">
        <f>INDEX(league_players!C:C,MATCH($A235,league_players!$A:$A,0))</f>
        <v>Jason</v>
      </c>
      <c r="M235" t="str">
        <f>INDEX(league_players!D:D,MATCH($A235,league_players!$A:$A,0))</f>
        <v>Pae</v>
      </c>
      <c r="N235" s="1">
        <v>45372</v>
      </c>
      <c r="O235" s="1">
        <f t="shared" si="3"/>
        <v>45374</v>
      </c>
    </row>
    <row r="236" spans="1:15" x14ac:dyDescent="0.2">
      <c r="A236" s="3" t="s">
        <v>308</v>
      </c>
      <c r="B236">
        <v>28</v>
      </c>
      <c r="C236">
        <v>-1</v>
      </c>
      <c r="D236">
        <v>70</v>
      </c>
      <c r="E236">
        <v>98</v>
      </c>
      <c r="F236">
        <v>-0.5</v>
      </c>
      <c r="G236">
        <v>27.5</v>
      </c>
      <c r="H236">
        <v>60</v>
      </c>
      <c r="I236" t="s">
        <v>486</v>
      </c>
      <c r="J236" s="6">
        <v>45352</v>
      </c>
      <c r="K236" s="1">
        <v>45373</v>
      </c>
      <c r="L236" t="str">
        <f>INDEX(league_players!C:C,MATCH($A236,league_players!$A:$A,0))</f>
        <v>Qian</v>
      </c>
      <c r="M236" t="str">
        <f>INDEX(league_players!D:D,MATCH($A236,league_players!$A:$A,0))</f>
        <v>Ying Goh</v>
      </c>
      <c r="N236" s="1">
        <v>45372</v>
      </c>
      <c r="O236" s="1">
        <f t="shared" si="3"/>
        <v>45374</v>
      </c>
    </row>
    <row r="237" spans="1:15" x14ac:dyDescent="0.2">
      <c r="A237" t="s">
        <v>73</v>
      </c>
      <c r="B237">
        <v>22</v>
      </c>
      <c r="C237">
        <v>6</v>
      </c>
      <c r="D237">
        <v>77</v>
      </c>
      <c r="E237">
        <v>99</v>
      </c>
      <c r="F237">
        <v>1</v>
      </c>
      <c r="G237">
        <v>23</v>
      </c>
      <c r="H237">
        <v>5</v>
      </c>
      <c r="I237" t="s">
        <v>487</v>
      </c>
      <c r="J237" s="6">
        <v>45352</v>
      </c>
      <c r="K237" s="1">
        <v>45373</v>
      </c>
      <c r="L237" t="str">
        <f>INDEX(league_players!C:C,MATCH($A237,league_players!$A:$A,0))</f>
        <v>Casey</v>
      </c>
      <c r="M237" t="str">
        <f>INDEX(league_players!D:D,MATCH($A237,league_players!$A:$A,0))</f>
        <v>Mee</v>
      </c>
      <c r="N237" s="1">
        <v>45372</v>
      </c>
      <c r="O237" s="1">
        <f t="shared" si="3"/>
        <v>45374</v>
      </c>
    </row>
    <row r="238" spans="1:15" x14ac:dyDescent="0.2">
      <c r="A238" t="s">
        <v>172</v>
      </c>
      <c r="B238">
        <v>25</v>
      </c>
      <c r="C238">
        <v>4</v>
      </c>
      <c r="D238">
        <v>75</v>
      </c>
      <c r="E238">
        <v>100</v>
      </c>
      <c r="F238">
        <v>0</v>
      </c>
      <c r="G238">
        <v>25</v>
      </c>
      <c r="H238">
        <v>20</v>
      </c>
      <c r="I238" t="s">
        <v>486</v>
      </c>
      <c r="J238" s="6">
        <v>45352</v>
      </c>
      <c r="K238" s="1">
        <v>45373</v>
      </c>
      <c r="L238" t="str">
        <f>INDEX(league_players!C:C,MATCH($A238,league_players!$A:$A,0))</f>
        <v>Jack</v>
      </c>
      <c r="M238" t="str">
        <f>INDEX(league_players!D:D,MATCH($A238,league_players!$A:$A,0))</f>
        <v>Ellis</v>
      </c>
      <c r="N238" s="1">
        <v>45372</v>
      </c>
      <c r="O238" s="1">
        <f t="shared" si="3"/>
        <v>45374</v>
      </c>
    </row>
    <row r="239" spans="1:15" x14ac:dyDescent="0.2">
      <c r="A239" t="s">
        <v>266</v>
      </c>
      <c r="B239">
        <v>19</v>
      </c>
      <c r="C239">
        <v>10</v>
      </c>
      <c r="D239">
        <v>81</v>
      </c>
      <c r="E239">
        <v>100</v>
      </c>
      <c r="F239">
        <v>1</v>
      </c>
      <c r="G239">
        <v>20</v>
      </c>
      <c r="H239">
        <v>5</v>
      </c>
      <c r="I239" t="s">
        <v>487</v>
      </c>
      <c r="J239" s="6">
        <v>45352</v>
      </c>
      <c r="K239" s="1">
        <v>45373</v>
      </c>
      <c r="L239" t="str">
        <f>INDEX(league_players!C:C,MATCH($A239,league_players!$A:$A,0))</f>
        <v>Michael</v>
      </c>
      <c r="M239" t="str">
        <f>INDEX(league_players!D:D,MATCH($A239,league_players!$A:$A,0))</f>
        <v>Gallagher</v>
      </c>
      <c r="N239" s="1">
        <v>45372</v>
      </c>
      <c r="O239" s="1">
        <f t="shared" si="3"/>
        <v>45374</v>
      </c>
    </row>
    <row r="240" spans="1:15" x14ac:dyDescent="0.2">
      <c r="A240" t="s">
        <v>63</v>
      </c>
      <c r="B240">
        <v>22</v>
      </c>
      <c r="C240">
        <v>8</v>
      </c>
      <c r="D240">
        <v>79</v>
      </c>
      <c r="E240">
        <v>101</v>
      </c>
      <c r="F240">
        <v>1</v>
      </c>
      <c r="G240">
        <v>23</v>
      </c>
      <c r="H240">
        <v>5</v>
      </c>
      <c r="I240" t="s">
        <v>486</v>
      </c>
      <c r="J240" s="6">
        <v>45352</v>
      </c>
      <c r="K240" s="1">
        <v>45373</v>
      </c>
      <c r="L240" t="str">
        <f>INDEX(league_players!C:C,MATCH($A240,league_players!$A:$A,0))</f>
        <v>Brad</v>
      </c>
      <c r="M240" t="str">
        <f>INDEX(league_players!D:D,MATCH($A240,league_players!$A:$A,0))</f>
        <v>Jowers</v>
      </c>
      <c r="N240" s="1">
        <v>45372</v>
      </c>
      <c r="O240" s="1">
        <f t="shared" si="3"/>
        <v>45374</v>
      </c>
    </row>
    <row r="241" spans="1:15" x14ac:dyDescent="0.2">
      <c r="A241" t="s">
        <v>190</v>
      </c>
      <c r="B241">
        <v>25</v>
      </c>
      <c r="C241">
        <v>5</v>
      </c>
      <c r="D241">
        <v>76</v>
      </c>
      <c r="E241">
        <v>101</v>
      </c>
      <c r="F241">
        <v>0</v>
      </c>
      <c r="G241">
        <v>25</v>
      </c>
      <c r="H241">
        <v>10</v>
      </c>
      <c r="I241" t="s">
        <v>486</v>
      </c>
      <c r="J241" s="6">
        <v>45352</v>
      </c>
      <c r="K241" s="1">
        <v>45373</v>
      </c>
      <c r="L241" t="str">
        <f>INDEX(league_players!C:C,MATCH($A241,league_players!$A:$A,0))</f>
        <v>Jeff</v>
      </c>
      <c r="M241" t="str">
        <f>INDEX(league_players!D:D,MATCH($A241,league_players!$A:$A,0))</f>
        <v>Plein</v>
      </c>
      <c r="N241" s="1">
        <v>45372</v>
      </c>
      <c r="O241" s="1">
        <f t="shared" si="3"/>
        <v>45374</v>
      </c>
    </row>
    <row r="242" spans="1:15" x14ac:dyDescent="0.2">
      <c r="A242" t="s">
        <v>316</v>
      </c>
      <c r="B242">
        <v>19</v>
      </c>
      <c r="C242">
        <v>13</v>
      </c>
      <c r="D242">
        <v>84</v>
      </c>
      <c r="E242">
        <v>103</v>
      </c>
      <c r="F242">
        <v>1</v>
      </c>
      <c r="G242">
        <v>20</v>
      </c>
      <c r="H242">
        <v>5</v>
      </c>
      <c r="I242" t="s">
        <v>487</v>
      </c>
      <c r="J242" s="6">
        <v>45352</v>
      </c>
      <c r="K242" s="1">
        <v>45373</v>
      </c>
      <c r="L242" t="str">
        <f>INDEX(league_players!C:C,MATCH($A242,league_players!$A:$A,0))</f>
        <v>Richard</v>
      </c>
      <c r="M242" t="str">
        <f>INDEX(league_players!D:D,MATCH($A242,league_players!$A:$A,0))</f>
        <v>Carrick</v>
      </c>
      <c r="N242" s="1">
        <v>45372</v>
      </c>
      <c r="O242" s="1">
        <f t="shared" si="3"/>
        <v>45374</v>
      </c>
    </row>
    <row r="243" spans="1:15" x14ac:dyDescent="0.2">
      <c r="A243" s="5" t="s">
        <v>276</v>
      </c>
      <c r="B243">
        <v>25</v>
      </c>
      <c r="C243">
        <v>8</v>
      </c>
      <c r="D243">
        <v>79</v>
      </c>
      <c r="E243">
        <v>104</v>
      </c>
      <c r="F243">
        <v>0</v>
      </c>
      <c r="G243">
        <v>25</v>
      </c>
      <c r="H243">
        <v>5</v>
      </c>
      <c r="I243" t="s">
        <v>486</v>
      </c>
      <c r="J243" s="6">
        <v>45352</v>
      </c>
      <c r="K243" s="1">
        <v>45373</v>
      </c>
      <c r="L243" t="str">
        <f>INDEX(league_players!C:C,MATCH($A243,league_players!$A:$A,0))</f>
        <v>Nicholas</v>
      </c>
      <c r="M243" t="str">
        <f>INDEX(league_players!D:D,MATCH($A243,league_players!$A:$A,0))</f>
        <v>Stipp</v>
      </c>
      <c r="N243" s="1">
        <v>45372</v>
      </c>
      <c r="O243" s="1">
        <f t="shared" si="3"/>
        <v>45374</v>
      </c>
    </row>
    <row r="244" spans="1:15" x14ac:dyDescent="0.2">
      <c r="A244" t="s">
        <v>90</v>
      </c>
      <c r="B244">
        <v>25</v>
      </c>
      <c r="C244">
        <v>9</v>
      </c>
      <c r="D244">
        <v>80</v>
      </c>
      <c r="E244">
        <v>105</v>
      </c>
      <c r="F244">
        <v>0</v>
      </c>
      <c r="G244">
        <v>25</v>
      </c>
      <c r="H244">
        <v>5</v>
      </c>
      <c r="I244" t="s">
        <v>487</v>
      </c>
      <c r="J244" s="6">
        <v>45352</v>
      </c>
      <c r="K244" s="1">
        <v>45373</v>
      </c>
      <c r="L244" t="str">
        <f>INDEX(league_players!C:C,MATCH($A244,league_players!$A:$A,0))</f>
        <v>Connie</v>
      </c>
      <c r="M244" t="str">
        <f>INDEX(league_players!D:D,MATCH($A244,league_players!$A:$A,0))</f>
        <v>Wong</v>
      </c>
      <c r="N244" s="1">
        <v>45372</v>
      </c>
      <c r="O244" s="1">
        <f t="shared" si="3"/>
        <v>45374</v>
      </c>
    </row>
    <row r="245" spans="1:15" x14ac:dyDescent="0.2">
      <c r="A245" t="s">
        <v>272</v>
      </c>
      <c r="B245">
        <v>25</v>
      </c>
      <c r="C245">
        <v>9</v>
      </c>
      <c r="D245">
        <v>80</v>
      </c>
      <c r="E245">
        <v>105</v>
      </c>
      <c r="F245">
        <v>0</v>
      </c>
      <c r="G245">
        <v>25</v>
      </c>
      <c r="H245">
        <v>5</v>
      </c>
      <c r="I245" t="s">
        <v>486</v>
      </c>
      <c r="J245" s="6">
        <v>45352</v>
      </c>
      <c r="K245" s="1">
        <v>45373</v>
      </c>
      <c r="L245" t="str">
        <f>INDEX(league_players!C:C,MATCH($A245,league_players!$A:$A,0))</f>
        <v>Neelay</v>
      </c>
      <c r="M245" t="str">
        <f>INDEX(league_players!D:D,MATCH($A245,league_players!$A:$A,0))</f>
        <v>Patel</v>
      </c>
      <c r="N245" s="1">
        <v>45372</v>
      </c>
      <c r="O245" s="1">
        <f t="shared" si="3"/>
        <v>45374</v>
      </c>
    </row>
    <row r="246" spans="1:15" x14ac:dyDescent="0.2">
      <c r="A246" t="s">
        <v>7</v>
      </c>
      <c r="B246">
        <v>25</v>
      </c>
      <c r="C246">
        <v>12</v>
      </c>
      <c r="D246">
        <v>83</v>
      </c>
      <c r="E246">
        <v>108</v>
      </c>
      <c r="F246">
        <v>0</v>
      </c>
      <c r="G246">
        <v>25</v>
      </c>
      <c r="H246">
        <v>5</v>
      </c>
      <c r="I246" t="s">
        <v>487</v>
      </c>
      <c r="J246" s="6">
        <v>45352</v>
      </c>
      <c r="K246" s="1">
        <v>45373</v>
      </c>
      <c r="L246" t="str">
        <f>INDEX(league_players!C:C,MATCH($A246,league_players!$A:$A,0))</f>
        <v>Eric</v>
      </c>
      <c r="M246" t="str">
        <f>INDEX(league_players!D:D,MATCH($A246,league_players!$A:$A,0))</f>
        <v>Sears</v>
      </c>
      <c r="N246" s="1">
        <v>45372</v>
      </c>
      <c r="O246" s="1">
        <f t="shared" si="3"/>
        <v>45374</v>
      </c>
    </row>
    <row r="247" spans="1:15" x14ac:dyDescent="0.2">
      <c r="A247" t="s">
        <v>65</v>
      </c>
      <c r="B247">
        <v>24.5</v>
      </c>
      <c r="C247">
        <v>14</v>
      </c>
      <c r="D247">
        <v>85</v>
      </c>
      <c r="E247">
        <v>110</v>
      </c>
      <c r="F247">
        <v>0.5</v>
      </c>
      <c r="G247">
        <v>25</v>
      </c>
      <c r="H247">
        <v>5</v>
      </c>
      <c r="I247" t="s">
        <v>486</v>
      </c>
      <c r="J247" s="6">
        <v>45352</v>
      </c>
      <c r="K247" s="1">
        <v>45373</v>
      </c>
      <c r="L247" t="str">
        <f>INDEX(league_players!C:C,MATCH($A247,league_players!$A:$A,0))</f>
        <v>Brian</v>
      </c>
      <c r="M247" t="str">
        <f>INDEX(league_players!D:D,MATCH($A247,league_players!$A:$A,0))</f>
        <v>Brit</v>
      </c>
      <c r="N247" s="1">
        <v>45372</v>
      </c>
      <c r="O247" s="1">
        <f t="shared" si="3"/>
        <v>45374</v>
      </c>
    </row>
    <row r="248" spans="1:15" x14ac:dyDescent="0.2">
      <c r="A248" t="s">
        <v>100</v>
      </c>
      <c r="B248">
        <v>25</v>
      </c>
      <c r="C248">
        <v>14</v>
      </c>
      <c r="D248">
        <v>85</v>
      </c>
      <c r="E248">
        <v>110</v>
      </c>
      <c r="F248">
        <v>0</v>
      </c>
      <c r="G248">
        <v>25</v>
      </c>
      <c r="H248">
        <v>5</v>
      </c>
      <c r="I248" t="s">
        <v>487</v>
      </c>
      <c r="J248" s="6">
        <v>45352</v>
      </c>
      <c r="K248" s="1">
        <v>45373</v>
      </c>
      <c r="L248" t="str">
        <f>INDEX(league_players!C:C,MATCH($A248,league_players!$A:$A,0))</f>
        <v>Darren</v>
      </c>
      <c r="M248" t="str">
        <f>INDEX(league_players!D:D,MATCH($A248,league_players!$A:$A,0))</f>
        <v>Lee</v>
      </c>
      <c r="N248" s="1">
        <v>45372</v>
      </c>
      <c r="O248" s="1">
        <f t="shared" si="3"/>
        <v>45374</v>
      </c>
    </row>
    <row r="249" spans="1:15" x14ac:dyDescent="0.2">
      <c r="A249" t="s">
        <v>197</v>
      </c>
      <c r="B249">
        <v>25</v>
      </c>
      <c r="C249">
        <v>19</v>
      </c>
      <c r="D249">
        <v>90</v>
      </c>
      <c r="E249">
        <v>115</v>
      </c>
      <c r="F249">
        <v>0</v>
      </c>
      <c r="G249">
        <v>25</v>
      </c>
      <c r="H249">
        <v>5</v>
      </c>
      <c r="I249" t="s">
        <v>486</v>
      </c>
      <c r="J249" s="6">
        <v>45352</v>
      </c>
      <c r="K249" s="1">
        <v>45373</v>
      </c>
      <c r="L249" t="str">
        <f>INDEX(league_players!C:C,MATCH($A249,league_players!$A:$A,0))</f>
        <v>John</v>
      </c>
      <c r="M249" t="str">
        <f>INDEX(league_players!D:D,MATCH($A249,league_players!$A:$A,0))</f>
        <v>Layburn</v>
      </c>
      <c r="N249" s="1">
        <v>45372</v>
      </c>
      <c r="O249" s="1">
        <f t="shared" si="3"/>
        <v>45374</v>
      </c>
    </row>
    <row r="250" spans="1:15" x14ac:dyDescent="0.2">
      <c r="A250" t="s">
        <v>365</v>
      </c>
      <c r="B250">
        <v>25</v>
      </c>
      <c r="C250">
        <v>33</v>
      </c>
      <c r="D250">
        <v>104</v>
      </c>
      <c r="E250">
        <v>129</v>
      </c>
      <c r="F250">
        <v>0</v>
      </c>
      <c r="G250">
        <v>25</v>
      </c>
      <c r="H250">
        <v>5</v>
      </c>
      <c r="I250" t="s">
        <v>487</v>
      </c>
      <c r="J250" s="6">
        <v>45352</v>
      </c>
      <c r="K250" s="1">
        <v>45373</v>
      </c>
      <c r="L250" t="str">
        <f>INDEX(league_players!C:C,MATCH($A250,league_players!$A:$A,0))</f>
        <v>Steve</v>
      </c>
      <c r="M250" t="str">
        <f>INDEX(league_players!D:D,MATCH($A250,league_players!$A:$A,0))</f>
        <v>Masternak</v>
      </c>
      <c r="N250" s="1">
        <v>45372</v>
      </c>
      <c r="O250" s="1">
        <f t="shared" si="3"/>
        <v>45374</v>
      </c>
    </row>
  </sheetData>
  <autoFilter ref="A1:K250" xr:uid="{1BB47BAB-9640-7942-A50E-58A40D408BE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C9B1-F2B2-B944-A738-1303677B60CE}">
  <dimension ref="A1:M39"/>
  <sheetViews>
    <sheetView workbookViewId="0">
      <selection activeCell="A2" sqref="A2:XFD19"/>
    </sheetView>
  </sheetViews>
  <sheetFormatPr baseColWidth="10" defaultRowHeight="16" x14ac:dyDescent="0.2"/>
  <cols>
    <col min="1" max="1" width="22.5" bestFit="1" customWidth="1"/>
  </cols>
  <sheetData>
    <row r="1" spans="1:13" x14ac:dyDescent="0.2">
      <c r="A1" s="9" t="s">
        <v>0</v>
      </c>
      <c r="B1" s="9" t="s">
        <v>478</v>
      </c>
      <c r="C1" s="9" t="s">
        <v>479</v>
      </c>
      <c r="D1" s="9" t="s">
        <v>480</v>
      </c>
      <c r="E1" s="9" t="s">
        <v>481</v>
      </c>
      <c r="F1" s="9" t="s">
        <v>482</v>
      </c>
      <c r="G1" s="9" t="s">
        <v>483</v>
      </c>
      <c r="H1" s="9" t="s">
        <v>484</v>
      </c>
      <c r="I1" s="9" t="s">
        <v>485</v>
      </c>
      <c r="J1" s="9" t="s">
        <v>658</v>
      </c>
      <c r="K1" s="9" t="s">
        <v>668</v>
      </c>
      <c r="L1" s="9" t="s">
        <v>669</v>
      </c>
    </row>
    <row r="2" spans="1:13" s="12" customFormat="1" x14ac:dyDescent="0.2">
      <c r="A2" s="12" t="s">
        <v>182</v>
      </c>
      <c r="B2" s="12">
        <v>24.5</v>
      </c>
      <c r="C2" s="12">
        <v>-4</v>
      </c>
      <c r="D2" s="12">
        <v>92.5</v>
      </c>
      <c r="E2" s="12">
        <v>68</v>
      </c>
      <c r="F2" s="12">
        <v>-2</v>
      </c>
      <c r="G2" s="12">
        <v>22.5</v>
      </c>
      <c r="H2" s="12">
        <v>100</v>
      </c>
      <c r="I2" s="12" t="s">
        <v>486</v>
      </c>
      <c r="J2" s="14">
        <v>45443</v>
      </c>
      <c r="K2" s="12" t="str">
        <f>INDEX(league_players!C:C,MATCH(may!A2,league_players!A:A,0))</f>
        <v>Jason</v>
      </c>
      <c r="L2" s="12" t="str">
        <f>INDEX(league_players!D:D,MATCH(may!A2,league_players!A:A,0))</f>
        <v>Pae</v>
      </c>
      <c r="M2" s="12">
        <f>MATCH(A2,league_players!A:A,0)</f>
        <v>96</v>
      </c>
    </row>
    <row r="3" spans="1:13" x14ac:dyDescent="0.2">
      <c r="A3" t="s">
        <v>318</v>
      </c>
      <c r="B3">
        <v>19</v>
      </c>
      <c r="C3">
        <v>-3</v>
      </c>
      <c r="D3">
        <v>88</v>
      </c>
      <c r="E3">
        <v>69</v>
      </c>
      <c r="F3">
        <v>-1.5</v>
      </c>
      <c r="G3">
        <v>17.5</v>
      </c>
      <c r="H3">
        <v>85</v>
      </c>
      <c r="I3" t="s">
        <v>486</v>
      </c>
      <c r="J3" s="1">
        <v>45443</v>
      </c>
      <c r="K3" t="str">
        <f>INDEX(league_players!C:C,MATCH(may!A3,league_players!A:A,0))</f>
        <v>Richard</v>
      </c>
      <c r="L3" t="str">
        <f>INDEX(league_players!D:D,MATCH(may!A3,league_players!A:A,0))</f>
        <v>Cogswell</v>
      </c>
      <c r="M3">
        <f>MATCH(A3,league_players!A:A,0)</f>
        <v>166</v>
      </c>
    </row>
    <row r="4" spans="1:13" x14ac:dyDescent="0.2">
      <c r="A4" t="s">
        <v>172</v>
      </c>
      <c r="B4">
        <v>21</v>
      </c>
      <c r="C4">
        <v>-3</v>
      </c>
      <c r="D4">
        <v>90</v>
      </c>
      <c r="E4">
        <v>69</v>
      </c>
      <c r="F4">
        <v>-1.5</v>
      </c>
      <c r="G4">
        <v>19.5</v>
      </c>
      <c r="H4">
        <v>85</v>
      </c>
      <c r="I4" t="s">
        <v>486</v>
      </c>
      <c r="J4" s="1">
        <v>45443</v>
      </c>
      <c r="K4" t="str">
        <f>INDEX(league_players!C:C,MATCH(may!A4,league_players!A:A,0))</f>
        <v>Jack</v>
      </c>
      <c r="L4" t="str">
        <f>INDEX(league_players!D:D,MATCH(may!A4,league_players!A:A,0))</f>
        <v>Ellis</v>
      </c>
      <c r="M4">
        <f>MATCH(A4,league_players!A:A,0)</f>
        <v>91</v>
      </c>
    </row>
    <row r="5" spans="1:13" x14ac:dyDescent="0.2">
      <c r="A5" t="s">
        <v>126</v>
      </c>
      <c r="B5">
        <v>16</v>
      </c>
      <c r="C5">
        <v>-2</v>
      </c>
      <c r="D5">
        <v>86</v>
      </c>
      <c r="E5">
        <v>70</v>
      </c>
      <c r="F5">
        <v>-1</v>
      </c>
      <c r="G5">
        <v>15</v>
      </c>
      <c r="H5">
        <v>65</v>
      </c>
      <c r="I5" t="s">
        <v>486</v>
      </c>
      <c r="J5" s="1">
        <v>45443</v>
      </c>
      <c r="K5" t="str">
        <f>INDEX(league_players!C:C,MATCH(may!A5,league_players!A:A,0))</f>
        <v>Elke</v>
      </c>
      <c r="L5" t="str">
        <f>INDEX(league_players!D:D,MATCH(may!A5,league_players!A:A,0))</f>
        <v>Biechele</v>
      </c>
      <c r="M5">
        <f>MATCH(A5,league_players!A:A,0)</f>
        <v>66</v>
      </c>
    </row>
    <row r="6" spans="1:13" x14ac:dyDescent="0.2">
      <c r="A6" t="s">
        <v>242</v>
      </c>
      <c r="B6">
        <v>25</v>
      </c>
      <c r="C6">
        <v>-2</v>
      </c>
      <c r="D6">
        <v>95</v>
      </c>
      <c r="E6">
        <v>70</v>
      </c>
      <c r="F6">
        <v>-1</v>
      </c>
      <c r="G6">
        <v>24</v>
      </c>
      <c r="H6">
        <v>65</v>
      </c>
      <c r="I6" t="s">
        <v>486</v>
      </c>
      <c r="J6" s="1">
        <v>45443</v>
      </c>
      <c r="K6" t="str">
        <f>INDEX(league_players!C:C,MATCH(may!A6,league_players!A:A,0))</f>
        <v>Luke</v>
      </c>
      <c r="L6" t="str">
        <f>INDEX(league_players!D:D,MATCH(may!A6,league_players!A:A,0))</f>
        <v>Boland</v>
      </c>
      <c r="M6">
        <f>MATCH(A6,league_players!A:A,0)</f>
        <v>127</v>
      </c>
    </row>
    <row r="7" spans="1:13" x14ac:dyDescent="0.2">
      <c r="A7" t="s">
        <v>316</v>
      </c>
      <c r="B7">
        <v>21</v>
      </c>
      <c r="C7">
        <v>-1</v>
      </c>
      <c r="D7">
        <v>92</v>
      </c>
      <c r="E7">
        <v>71</v>
      </c>
      <c r="F7">
        <v>-0.5</v>
      </c>
      <c r="G7">
        <v>20.5</v>
      </c>
      <c r="H7">
        <v>50</v>
      </c>
      <c r="I7" t="s">
        <v>486</v>
      </c>
      <c r="J7" s="1">
        <v>45443</v>
      </c>
      <c r="K7" t="str">
        <f>INDEX(league_players!C:C,MATCH(may!A7,league_players!A:A,0))</f>
        <v>Richard</v>
      </c>
      <c r="L7" t="str">
        <f>INDEX(league_players!D:D,MATCH(may!A7,league_players!A:A,0))</f>
        <v>Carrick</v>
      </c>
      <c r="M7">
        <f>MATCH(A7,league_players!A:A,0)</f>
        <v>165</v>
      </c>
    </row>
    <row r="8" spans="1:13" x14ac:dyDescent="0.2">
      <c r="A8" t="s">
        <v>112</v>
      </c>
      <c r="B8">
        <v>21</v>
      </c>
      <c r="C8">
        <v>0</v>
      </c>
      <c r="D8">
        <v>93</v>
      </c>
      <c r="E8">
        <v>72</v>
      </c>
      <c r="F8">
        <v>0</v>
      </c>
      <c r="G8">
        <v>21</v>
      </c>
      <c r="H8">
        <v>30</v>
      </c>
      <c r="I8" t="s">
        <v>486</v>
      </c>
      <c r="J8" s="1">
        <v>45443</v>
      </c>
      <c r="K8" t="str">
        <f>INDEX(league_players!C:C,MATCH(may!A8,league_players!A:A,0))</f>
        <v>Dominic</v>
      </c>
      <c r="L8" t="str">
        <f>INDEX(league_players!D:D,MATCH(may!A8,league_players!A:A,0))</f>
        <v>Morrison</v>
      </c>
      <c r="M8">
        <f>MATCH(A8,league_players!A:A,0)</f>
        <v>59</v>
      </c>
    </row>
    <row r="9" spans="1:13" x14ac:dyDescent="0.2">
      <c r="A9" t="s">
        <v>128</v>
      </c>
      <c r="B9">
        <v>15</v>
      </c>
      <c r="C9">
        <v>0</v>
      </c>
      <c r="D9">
        <v>87</v>
      </c>
      <c r="E9">
        <v>72</v>
      </c>
      <c r="F9">
        <v>0</v>
      </c>
      <c r="G9">
        <v>15</v>
      </c>
      <c r="H9">
        <v>30</v>
      </c>
      <c r="I9" t="s">
        <v>486</v>
      </c>
      <c r="J9" s="1">
        <v>45443</v>
      </c>
      <c r="K9" t="str">
        <f>INDEX(league_players!C:C,MATCH(may!A9,league_players!A:A,0))</f>
        <v>Florian</v>
      </c>
      <c r="L9" t="str">
        <f>INDEX(league_players!D:D,MATCH(may!A9,league_players!A:A,0))</f>
        <v>Dumas</v>
      </c>
      <c r="M9">
        <f>MATCH(A9,league_players!A:A,0)</f>
        <v>67</v>
      </c>
    </row>
    <row r="10" spans="1:13" x14ac:dyDescent="0.2">
      <c r="A10" t="s">
        <v>102</v>
      </c>
      <c r="B10">
        <v>23.5</v>
      </c>
      <c r="C10">
        <v>0</v>
      </c>
      <c r="D10">
        <v>95.5</v>
      </c>
      <c r="E10">
        <v>72</v>
      </c>
      <c r="F10">
        <v>0</v>
      </c>
      <c r="G10">
        <v>23.5</v>
      </c>
      <c r="H10">
        <v>30</v>
      </c>
      <c r="I10" t="s">
        <v>486</v>
      </c>
      <c r="J10" s="1">
        <v>45443</v>
      </c>
      <c r="K10" t="str">
        <f>INDEX(league_players!C:C,MATCH(may!A10,league_players!A:A,0))</f>
        <v>Darren</v>
      </c>
      <c r="L10" t="str">
        <f>INDEX(league_players!D:D,MATCH(may!A10,league_players!A:A,0))</f>
        <v>Measures</v>
      </c>
      <c r="M10">
        <f>MATCH(A10,league_players!A:A,0)</f>
        <v>54</v>
      </c>
    </row>
    <row r="11" spans="1:13" x14ac:dyDescent="0.2">
      <c r="A11" t="s">
        <v>322</v>
      </c>
      <c r="B11">
        <v>4</v>
      </c>
      <c r="C11">
        <v>1</v>
      </c>
      <c r="D11">
        <v>77</v>
      </c>
      <c r="E11">
        <v>73</v>
      </c>
      <c r="F11">
        <v>1</v>
      </c>
      <c r="G11">
        <v>5</v>
      </c>
      <c r="H11">
        <v>10</v>
      </c>
      <c r="I11" t="s">
        <v>486</v>
      </c>
      <c r="J11" s="1">
        <v>45443</v>
      </c>
      <c r="K11" t="str">
        <f>INDEX(league_players!C:C,MATCH(may!A11,league_players!A:A,0))</f>
        <v>Rob</v>
      </c>
      <c r="L11" t="str">
        <f>INDEX(league_players!D:D,MATCH(may!A11,league_players!A:A,0))</f>
        <v>Springett</v>
      </c>
      <c r="M11">
        <f>MATCH(A11,league_players!A:A,0)</f>
        <v>168</v>
      </c>
    </row>
    <row r="12" spans="1:13" x14ac:dyDescent="0.2">
      <c r="A12" t="s">
        <v>190</v>
      </c>
      <c r="B12">
        <v>25</v>
      </c>
      <c r="C12">
        <v>1</v>
      </c>
      <c r="D12">
        <v>98</v>
      </c>
      <c r="E12">
        <v>73</v>
      </c>
      <c r="F12">
        <v>0</v>
      </c>
      <c r="G12">
        <v>25</v>
      </c>
      <c r="H12">
        <v>10</v>
      </c>
      <c r="I12" t="s">
        <v>486</v>
      </c>
      <c r="J12" s="1">
        <v>45443</v>
      </c>
      <c r="K12" t="str">
        <f>INDEX(league_players!C:C,MATCH(may!A12,league_players!A:A,0))</f>
        <v>Jeff</v>
      </c>
      <c r="L12" t="str">
        <f>INDEX(league_players!D:D,MATCH(may!A12,league_players!A:A,0))</f>
        <v>Plein</v>
      </c>
      <c r="M12">
        <f>MATCH(A12,league_players!A:A,0)</f>
        <v>100</v>
      </c>
    </row>
    <row r="13" spans="1:13" s="12" customFormat="1" x14ac:dyDescent="0.2">
      <c r="A13" s="12" t="s">
        <v>659</v>
      </c>
      <c r="B13" s="12">
        <v>2</v>
      </c>
      <c r="C13" s="12">
        <v>3</v>
      </c>
      <c r="D13" s="12">
        <v>77</v>
      </c>
      <c r="E13" s="12">
        <v>75</v>
      </c>
      <c r="F13" s="12">
        <v>1</v>
      </c>
      <c r="G13" s="12">
        <v>3</v>
      </c>
      <c r="H13" s="12">
        <v>5</v>
      </c>
      <c r="I13" s="12" t="s">
        <v>487</v>
      </c>
      <c r="J13" s="14">
        <v>45443</v>
      </c>
      <c r="K13" s="12" t="str">
        <f>INDEX(league_players!C:C,MATCH(may!A13,league_players!A:A,0))</f>
        <v>Noel</v>
      </c>
      <c r="L13" s="12" t="str">
        <f>INDEX(league_players!D:D,MATCH(may!A13,league_players!A:A,0))</f>
        <v>Reddy</v>
      </c>
      <c r="M13" s="12">
        <f>MATCH(A13,league_players!A:A,0)</f>
        <v>213</v>
      </c>
    </row>
    <row r="14" spans="1:13" x14ac:dyDescent="0.2">
      <c r="A14" t="s">
        <v>372</v>
      </c>
      <c r="B14">
        <v>9</v>
      </c>
      <c r="C14">
        <v>3</v>
      </c>
      <c r="D14">
        <v>84</v>
      </c>
      <c r="E14">
        <v>75</v>
      </c>
      <c r="F14">
        <v>1</v>
      </c>
      <c r="G14">
        <v>10</v>
      </c>
      <c r="H14">
        <v>5</v>
      </c>
      <c r="I14" t="s">
        <v>486</v>
      </c>
      <c r="J14" s="1">
        <v>45443</v>
      </c>
      <c r="K14" t="str">
        <f>INDEX(league_players!C:C,MATCH(may!A14,league_players!A:A,0))</f>
        <v>Stuart</v>
      </c>
      <c r="L14" t="str">
        <f>INDEX(league_players!D:D,MATCH(may!A14,league_players!A:A,0))</f>
        <v>Andrew</v>
      </c>
      <c r="M14">
        <f>MATCH(A14,league_players!A:A,0)</f>
        <v>194</v>
      </c>
    </row>
    <row r="15" spans="1:13" x14ac:dyDescent="0.2">
      <c r="A15" t="s">
        <v>71</v>
      </c>
      <c r="B15">
        <v>19</v>
      </c>
      <c r="C15">
        <v>4</v>
      </c>
      <c r="D15">
        <v>95</v>
      </c>
      <c r="E15">
        <v>76</v>
      </c>
      <c r="F15">
        <v>1</v>
      </c>
      <c r="G15">
        <v>20</v>
      </c>
      <c r="H15">
        <v>5</v>
      </c>
      <c r="I15" t="s">
        <v>486</v>
      </c>
      <c r="J15" s="1">
        <v>45443</v>
      </c>
      <c r="K15" t="str">
        <f>INDEX(league_players!C:C,MATCH(may!A15,league_players!A:A,0))</f>
        <v>Carter</v>
      </c>
      <c r="L15" t="str">
        <f>INDEX(league_players!D:D,MATCH(may!A15,league_players!A:A,0))</f>
        <v>Sunwall</v>
      </c>
      <c r="M15">
        <f>MATCH(A15,league_players!A:A,0)</f>
        <v>38</v>
      </c>
    </row>
    <row r="16" spans="1:13" x14ac:dyDescent="0.2">
      <c r="A16" t="s">
        <v>55</v>
      </c>
      <c r="B16">
        <v>18</v>
      </c>
      <c r="C16">
        <v>4</v>
      </c>
      <c r="D16">
        <v>94</v>
      </c>
      <c r="E16">
        <v>76</v>
      </c>
      <c r="F16">
        <v>1</v>
      </c>
      <c r="G16">
        <v>19</v>
      </c>
      <c r="H16">
        <v>5</v>
      </c>
      <c r="I16" t="s">
        <v>486</v>
      </c>
      <c r="J16" s="1">
        <v>45443</v>
      </c>
      <c r="K16" t="str">
        <f>INDEX(league_players!C:C,MATCH(may!A16,league_players!A:A,0))</f>
        <v>Ashley</v>
      </c>
      <c r="L16" t="str">
        <f>INDEX(league_players!D:D,MATCH(may!A16,league_players!A:A,0))</f>
        <v>Scifleet</v>
      </c>
      <c r="M16">
        <f>MATCH(A16,league_players!A:A,0)</f>
        <v>30</v>
      </c>
    </row>
    <row r="17" spans="1:13" x14ac:dyDescent="0.2">
      <c r="A17" t="s">
        <v>59</v>
      </c>
      <c r="B17">
        <v>21.5</v>
      </c>
      <c r="C17">
        <v>4</v>
      </c>
      <c r="D17">
        <v>97.5</v>
      </c>
      <c r="E17">
        <v>76</v>
      </c>
      <c r="F17">
        <v>1</v>
      </c>
      <c r="G17">
        <v>22.5</v>
      </c>
      <c r="H17">
        <v>5</v>
      </c>
      <c r="I17" t="s">
        <v>486</v>
      </c>
      <c r="J17" s="1">
        <v>45443</v>
      </c>
      <c r="K17" t="str">
        <f>INDEX(league_players!C:C,MATCH(may!A17,league_players!A:A,0))</f>
        <v>Barnaby</v>
      </c>
      <c r="L17" t="str">
        <f>INDEX(league_players!D:D,MATCH(may!A17,league_players!A:A,0))</f>
        <v>Dobson</v>
      </c>
      <c r="M17">
        <f>MATCH(A17,league_players!A:A,0)</f>
        <v>32</v>
      </c>
    </row>
    <row r="18" spans="1:13" s="12" customFormat="1" x14ac:dyDescent="0.2">
      <c r="A18" s="12" t="s">
        <v>136</v>
      </c>
      <c r="B18" s="12">
        <v>15</v>
      </c>
      <c r="C18" s="12">
        <v>5</v>
      </c>
      <c r="D18" s="12">
        <v>92</v>
      </c>
      <c r="E18" s="12">
        <v>77</v>
      </c>
      <c r="F18" s="12">
        <v>1</v>
      </c>
      <c r="G18" s="12">
        <v>16</v>
      </c>
      <c r="H18" s="12">
        <v>5</v>
      </c>
      <c r="I18" s="12" t="s">
        <v>486</v>
      </c>
      <c r="J18" s="14">
        <v>45443</v>
      </c>
      <c r="K18" s="12" t="str">
        <f>INDEX(league_players!C:C,MATCH(may!A18,league_players!A:A,0))</f>
        <v>Garrett</v>
      </c>
      <c r="L18" s="12" t="str">
        <f>INDEX(league_players!D:D,MATCH(may!A18,league_players!A:A,0))</f>
        <v>Lim</v>
      </c>
      <c r="M18" s="12">
        <f>MATCH(A18,league_players!A:A,0)</f>
        <v>71</v>
      </c>
    </row>
    <row r="19" spans="1:13" x14ac:dyDescent="0.2">
      <c r="A19" t="s">
        <v>94</v>
      </c>
      <c r="B19">
        <v>25</v>
      </c>
      <c r="C19">
        <v>5</v>
      </c>
      <c r="D19">
        <v>102</v>
      </c>
      <c r="E19">
        <v>77</v>
      </c>
      <c r="F19">
        <v>0</v>
      </c>
      <c r="G19">
        <v>25</v>
      </c>
      <c r="H19">
        <v>5</v>
      </c>
      <c r="I19" t="s">
        <v>486</v>
      </c>
      <c r="J19" s="1">
        <v>45443</v>
      </c>
      <c r="K19" t="str">
        <f>INDEX(league_players!C:C,MATCH(may!A19,league_players!A:A,0))</f>
        <v>Daniel</v>
      </c>
      <c r="L19" t="str">
        <f>INDEX(league_players!D:D,MATCH(may!A19,league_players!A:A,0))</f>
        <v>Kennedy</v>
      </c>
      <c r="M19">
        <f>MATCH(A19,league_players!A:A,0)</f>
        <v>50</v>
      </c>
    </row>
    <row r="20" spans="1:13" s="12" customFormat="1" x14ac:dyDescent="0.2">
      <c r="A20" s="12" t="s">
        <v>660</v>
      </c>
      <c r="B20" s="12">
        <v>17.5</v>
      </c>
      <c r="C20" s="12">
        <v>5</v>
      </c>
      <c r="D20" s="12">
        <v>94.5</v>
      </c>
      <c r="E20" s="12">
        <v>77</v>
      </c>
      <c r="F20" s="12">
        <v>1</v>
      </c>
      <c r="G20" s="12">
        <v>18.5</v>
      </c>
      <c r="H20" s="12">
        <v>5</v>
      </c>
      <c r="I20" s="12" t="s">
        <v>487</v>
      </c>
      <c r="J20" s="14">
        <v>45443</v>
      </c>
      <c r="K20" s="12" t="str">
        <f>INDEX(league_players!C:C,MATCH(may!A20,league_players!A:A,0))</f>
        <v>Vikram</v>
      </c>
      <c r="L20" s="12" t="str">
        <f>INDEX(league_players!D:D,MATCH(may!A20,league_players!A:A,0))</f>
        <v>Bhalia</v>
      </c>
      <c r="M20" s="12">
        <f>MATCH(A20,league_players!A:A,0)</f>
        <v>214</v>
      </c>
    </row>
    <row r="21" spans="1:13" x14ac:dyDescent="0.2">
      <c r="A21" t="s">
        <v>151</v>
      </c>
      <c r="B21">
        <v>7</v>
      </c>
      <c r="C21">
        <v>6</v>
      </c>
      <c r="D21">
        <v>85</v>
      </c>
      <c r="E21">
        <v>78</v>
      </c>
      <c r="F21">
        <v>1</v>
      </c>
      <c r="G21">
        <v>8</v>
      </c>
      <c r="H21">
        <v>5</v>
      </c>
      <c r="I21" t="s">
        <v>486</v>
      </c>
      <c r="J21" s="1">
        <v>45443</v>
      </c>
      <c r="K21" t="str">
        <f>INDEX(league_players!C:C,MATCH(may!A21,league_players!A:A,0))</f>
        <v>Grant</v>
      </c>
      <c r="L21" t="str">
        <f>INDEX(league_players!D:D,MATCH(may!A21,league_players!A:A,0))</f>
        <v>Bowman</v>
      </c>
      <c r="M21">
        <f>MATCH(A21,league_players!A:A,0)</f>
        <v>79</v>
      </c>
    </row>
    <row r="22" spans="1:13" x14ac:dyDescent="0.2">
      <c r="A22" t="s">
        <v>63</v>
      </c>
      <c r="B22">
        <v>23</v>
      </c>
      <c r="C22">
        <v>6</v>
      </c>
      <c r="D22">
        <v>101</v>
      </c>
      <c r="E22">
        <v>78</v>
      </c>
      <c r="F22">
        <v>1</v>
      </c>
      <c r="G22">
        <v>24</v>
      </c>
      <c r="H22">
        <v>5</v>
      </c>
      <c r="I22" t="s">
        <v>486</v>
      </c>
      <c r="J22" s="1">
        <v>45443</v>
      </c>
      <c r="K22" t="str">
        <f>INDEX(league_players!C:C,MATCH(may!A22,league_players!A:A,0))</f>
        <v>Brad</v>
      </c>
      <c r="L22" t="str">
        <f>INDEX(league_players!D:D,MATCH(may!A22,league_players!A:A,0))</f>
        <v>Jowers</v>
      </c>
      <c r="M22">
        <f>MATCH(A22,league_players!A:A,0)</f>
        <v>34</v>
      </c>
    </row>
    <row r="23" spans="1:13" x14ac:dyDescent="0.2">
      <c r="A23" t="s">
        <v>320</v>
      </c>
      <c r="B23">
        <v>24</v>
      </c>
      <c r="C23">
        <v>6</v>
      </c>
      <c r="D23">
        <v>102</v>
      </c>
      <c r="E23">
        <v>78</v>
      </c>
      <c r="F23">
        <v>1</v>
      </c>
      <c r="G23">
        <v>25</v>
      </c>
      <c r="H23">
        <v>5</v>
      </c>
      <c r="I23" t="s">
        <v>486</v>
      </c>
      <c r="J23" s="1">
        <v>45443</v>
      </c>
      <c r="K23" t="str">
        <f>INDEX(league_players!C:C,MATCH(may!A23,league_players!A:A,0))</f>
        <v>Rick</v>
      </c>
      <c r="L23" t="str">
        <f>INDEX(league_players!D:D,MATCH(may!A23,league_players!A:A,0))</f>
        <v>Browne</v>
      </c>
      <c r="M23">
        <f>MATCH(A23,league_players!A:A,0)</f>
        <v>167</v>
      </c>
    </row>
    <row r="24" spans="1:13" x14ac:dyDescent="0.2">
      <c r="A24" t="s">
        <v>460</v>
      </c>
      <c r="B24">
        <v>25</v>
      </c>
      <c r="C24">
        <v>6</v>
      </c>
      <c r="D24">
        <v>103</v>
      </c>
      <c r="E24">
        <v>78</v>
      </c>
      <c r="F24">
        <v>0</v>
      </c>
      <c r="G24">
        <v>25</v>
      </c>
      <c r="H24">
        <v>5</v>
      </c>
      <c r="I24" t="s">
        <v>486</v>
      </c>
      <c r="J24" s="1">
        <v>45443</v>
      </c>
      <c r="K24" t="str">
        <f>INDEX(league_players!C:C,MATCH(may!A24,league_players!A:A,0))</f>
        <v>Simon</v>
      </c>
      <c r="L24" t="str">
        <f>INDEX(league_players!D:D,MATCH(may!A24,league_players!A:A,0))</f>
        <v>Van Dijk</v>
      </c>
      <c r="M24">
        <f>MATCH(A24,league_players!A:A,0)</f>
        <v>185</v>
      </c>
    </row>
    <row r="25" spans="1:13" x14ac:dyDescent="0.2">
      <c r="A25" t="s">
        <v>661</v>
      </c>
      <c r="B25">
        <v>28</v>
      </c>
      <c r="C25">
        <v>7</v>
      </c>
      <c r="D25">
        <v>107</v>
      </c>
      <c r="E25">
        <v>79</v>
      </c>
      <c r="F25">
        <v>0</v>
      </c>
      <c r="G25">
        <v>28</v>
      </c>
      <c r="H25">
        <v>5</v>
      </c>
      <c r="I25" t="s">
        <v>487</v>
      </c>
      <c r="J25" s="1">
        <v>45443</v>
      </c>
      <c r="K25" t="str">
        <f>INDEX(league_players!C:C,MATCH(may!A25,league_players!A:A,0))</f>
        <v>Mon</v>
      </c>
      <c r="L25" t="str">
        <f>INDEX(league_players!D:D,MATCH(may!A25,league_players!A:A,0))</f>
        <v>Kongpatep</v>
      </c>
      <c r="M25">
        <f>MATCH(A25,league_players!A:A,0)</f>
        <v>215</v>
      </c>
    </row>
    <row r="26" spans="1:13" x14ac:dyDescent="0.2">
      <c r="A26" t="s">
        <v>180</v>
      </c>
      <c r="B26">
        <v>21</v>
      </c>
      <c r="C26">
        <v>8</v>
      </c>
      <c r="D26">
        <v>101</v>
      </c>
      <c r="E26">
        <v>80</v>
      </c>
      <c r="F26">
        <v>1</v>
      </c>
      <c r="G26">
        <v>22</v>
      </c>
      <c r="H26">
        <v>5</v>
      </c>
      <c r="I26" t="s">
        <v>486</v>
      </c>
      <c r="J26" s="1">
        <v>45443</v>
      </c>
      <c r="K26" t="str">
        <f>INDEX(league_players!C:C,MATCH(may!A26,league_players!A:A,0))</f>
        <v>Jane</v>
      </c>
      <c r="L26" t="str">
        <f>INDEX(league_players!D:D,MATCH(may!A26,league_players!A:A,0))</f>
        <v>You</v>
      </c>
      <c r="M26">
        <f>MATCH(A26,league_players!A:A,0)</f>
        <v>95</v>
      </c>
    </row>
    <row r="27" spans="1:13" x14ac:dyDescent="0.2">
      <c r="A27" t="s">
        <v>662</v>
      </c>
      <c r="B27">
        <v>12</v>
      </c>
      <c r="C27">
        <v>8</v>
      </c>
      <c r="D27">
        <v>92</v>
      </c>
      <c r="E27">
        <v>80</v>
      </c>
      <c r="F27">
        <v>1</v>
      </c>
      <c r="G27">
        <v>13</v>
      </c>
      <c r="H27">
        <v>5</v>
      </c>
      <c r="I27" t="s">
        <v>487</v>
      </c>
      <c r="J27" s="1">
        <v>45443</v>
      </c>
      <c r="K27" t="str">
        <f>INDEX(league_players!C:C,MATCH(may!A27,league_players!A:A,0))</f>
        <v>Burke</v>
      </c>
      <c r="L27" t="str">
        <f>INDEX(league_players!D:D,MATCH(may!A27,league_players!A:A,0))</f>
        <v>Hilder</v>
      </c>
      <c r="M27">
        <f>MATCH(A27,league_players!A:A,0)</f>
        <v>216</v>
      </c>
    </row>
    <row r="28" spans="1:13" x14ac:dyDescent="0.2">
      <c r="A28" t="s">
        <v>300</v>
      </c>
      <c r="B28">
        <v>25</v>
      </c>
      <c r="C28">
        <v>8</v>
      </c>
      <c r="D28">
        <v>105</v>
      </c>
      <c r="E28">
        <v>80</v>
      </c>
      <c r="F28">
        <v>0</v>
      </c>
      <c r="G28">
        <v>25</v>
      </c>
      <c r="H28">
        <v>5</v>
      </c>
      <c r="I28" t="s">
        <v>486</v>
      </c>
      <c r="J28" s="1">
        <v>45443</v>
      </c>
      <c r="K28" t="str">
        <f>INDEX(league_players!C:C,MATCH(may!A28,league_players!A:A,0))</f>
        <v>Phil</v>
      </c>
      <c r="L28" t="str">
        <f>INDEX(league_players!D:D,MATCH(may!A28,league_players!A:A,0))</f>
        <v>Eden</v>
      </c>
      <c r="M28">
        <f>MATCH(A28,league_players!A:A,0)</f>
        <v>157</v>
      </c>
    </row>
    <row r="29" spans="1:13" x14ac:dyDescent="0.2">
      <c r="A29" t="s">
        <v>236</v>
      </c>
      <c r="B29">
        <v>28</v>
      </c>
      <c r="C29">
        <v>8</v>
      </c>
      <c r="D29">
        <v>108</v>
      </c>
      <c r="E29">
        <v>80</v>
      </c>
      <c r="F29">
        <v>0</v>
      </c>
      <c r="G29">
        <v>28</v>
      </c>
      <c r="H29">
        <v>5</v>
      </c>
      <c r="I29" t="s">
        <v>486</v>
      </c>
      <c r="J29" s="1">
        <v>45443</v>
      </c>
      <c r="K29" t="str">
        <f>INDEX(league_players!C:C,MATCH(may!A29,league_players!A:A,0))</f>
        <v>Laura</v>
      </c>
      <c r="L29" t="str">
        <f>INDEX(league_players!D:D,MATCH(may!A29,league_players!A:A,0))</f>
        <v>Ryan</v>
      </c>
      <c r="M29">
        <f>MATCH(A29,league_players!A:A,0)</f>
        <v>124</v>
      </c>
    </row>
    <row r="30" spans="1:13" x14ac:dyDescent="0.2">
      <c r="A30" t="s">
        <v>663</v>
      </c>
      <c r="B30" s="12">
        <v>12</v>
      </c>
      <c r="C30">
        <v>8</v>
      </c>
      <c r="D30">
        <v>92</v>
      </c>
      <c r="E30">
        <v>80</v>
      </c>
      <c r="F30">
        <v>1</v>
      </c>
      <c r="G30">
        <v>13</v>
      </c>
      <c r="H30">
        <v>5</v>
      </c>
      <c r="I30" t="s">
        <v>487</v>
      </c>
      <c r="J30" s="1">
        <v>45443</v>
      </c>
      <c r="K30" t="str">
        <f>INDEX(league_players!C:C,MATCH(may!A30,league_players!A:A,0))</f>
        <v>Adam</v>
      </c>
      <c r="L30" t="str">
        <f>INDEX(league_players!D:D,MATCH(may!A30,league_players!A:A,0))</f>
        <v>Grabow</v>
      </c>
      <c r="M30">
        <f>MATCH(A30,league_players!A:A,0)</f>
        <v>217</v>
      </c>
    </row>
    <row r="31" spans="1:13" x14ac:dyDescent="0.2">
      <c r="A31" t="s">
        <v>118</v>
      </c>
      <c r="B31">
        <v>16</v>
      </c>
      <c r="C31">
        <v>9</v>
      </c>
      <c r="D31">
        <v>97</v>
      </c>
      <c r="E31">
        <v>81</v>
      </c>
      <c r="F31">
        <v>1</v>
      </c>
      <c r="G31">
        <v>17</v>
      </c>
      <c r="H31">
        <v>5</v>
      </c>
      <c r="I31" t="s">
        <v>486</v>
      </c>
      <c r="J31" s="1">
        <v>45443</v>
      </c>
      <c r="K31" t="str">
        <f>INDEX(league_players!C:C,MATCH(may!A31,league_players!A:A,0))</f>
        <v>Douglas</v>
      </c>
      <c r="L31" t="str">
        <f>INDEX(league_players!D:D,MATCH(may!A31,league_players!A:A,0))</f>
        <v>Hudson</v>
      </c>
      <c r="M31">
        <f>MATCH(A31,league_players!A:A,0)</f>
        <v>62</v>
      </c>
    </row>
    <row r="32" spans="1:13" x14ac:dyDescent="0.2">
      <c r="A32" t="s">
        <v>359</v>
      </c>
      <c r="B32">
        <v>19</v>
      </c>
      <c r="C32">
        <v>9</v>
      </c>
      <c r="D32">
        <v>100</v>
      </c>
      <c r="E32">
        <v>81</v>
      </c>
      <c r="F32">
        <v>1</v>
      </c>
      <c r="G32">
        <v>20</v>
      </c>
      <c r="H32">
        <v>5</v>
      </c>
      <c r="I32" t="s">
        <v>486</v>
      </c>
      <c r="J32" s="1">
        <v>45443</v>
      </c>
      <c r="K32" t="str">
        <f>INDEX(league_players!C:C,MATCH(may!A32,league_players!A:A,0))</f>
        <v>Sing</v>
      </c>
      <c r="L32" t="str">
        <f>INDEX(league_players!D:D,MATCH(may!A32,league_players!A:A,0))</f>
        <v>Chan Ng</v>
      </c>
      <c r="M32">
        <f>MATCH(A32,league_players!A:A,0)</f>
        <v>187</v>
      </c>
    </row>
    <row r="33" spans="1:13" x14ac:dyDescent="0.2">
      <c r="A33" t="s">
        <v>197</v>
      </c>
      <c r="B33">
        <v>25</v>
      </c>
      <c r="C33">
        <v>11</v>
      </c>
      <c r="D33">
        <v>108</v>
      </c>
      <c r="E33">
        <v>83</v>
      </c>
      <c r="F33">
        <v>0</v>
      </c>
      <c r="G33">
        <v>25</v>
      </c>
      <c r="H33">
        <v>5</v>
      </c>
      <c r="I33" t="s">
        <v>486</v>
      </c>
      <c r="J33" s="1">
        <v>45443</v>
      </c>
      <c r="K33" t="str">
        <f>INDEX(league_players!C:C,MATCH(may!A33,league_players!A:A,0))</f>
        <v>John</v>
      </c>
      <c r="L33" t="str">
        <f>INDEX(league_players!D:D,MATCH(may!A33,league_players!A:A,0))</f>
        <v>Layburn</v>
      </c>
      <c r="M33">
        <f>MATCH(A33,league_players!A:A,0)</f>
        <v>104</v>
      </c>
    </row>
    <row r="34" spans="1:13" x14ac:dyDescent="0.2">
      <c r="A34" t="s">
        <v>664</v>
      </c>
      <c r="B34" s="12">
        <v>18</v>
      </c>
      <c r="C34">
        <v>17</v>
      </c>
      <c r="D34">
        <v>107</v>
      </c>
      <c r="E34">
        <v>89</v>
      </c>
      <c r="F34">
        <v>1</v>
      </c>
      <c r="G34">
        <v>19</v>
      </c>
      <c r="H34">
        <v>5</v>
      </c>
      <c r="I34" t="s">
        <v>487</v>
      </c>
      <c r="J34" s="1">
        <v>45443</v>
      </c>
      <c r="K34" t="str">
        <f>INDEX(league_players!C:C,MATCH(may!A34,league_players!A:A,0))</f>
        <v>Russell</v>
      </c>
      <c r="L34" t="str">
        <f>INDEX(league_players!D:D,MATCH(may!A34,league_players!A:A,0))</f>
        <v>Toop</v>
      </c>
      <c r="M34">
        <f>MATCH(A34,league_players!A:A,0)</f>
        <v>218</v>
      </c>
    </row>
    <row r="35" spans="1:13" x14ac:dyDescent="0.2">
      <c r="A35" t="s">
        <v>665</v>
      </c>
      <c r="B35">
        <v>19</v>
      </c>
      <c r="C35">
        <v>20</v>
      </c>
      <c r="D35">
        <v>111</v>
      </c>
      <c r="E35">
        <v>92</v>
      </c>
      <c r="F35">
        <v>1</v>
      </c>
      <c r="G35">
        <v>20</v>
      </c>
      <c r="H35">
        <v>5</v>
      </c>
      <c r="I35" t="s">
        <v>487</v>
      </c>
      <c r="J35" s="1">
        <v>45443</v>
      </c>
      <c r="K35" t="str">
        <f>INDEX(league_players!C:C,MATCH(may!A35,league_players!A:A,0))</f>
        <v>Pat</v>
      </c>
      <c r="L35" t="str">
        <f>INDEX(league_players!D:D,MATCH(may!A35,league_players!A:A,0))</f>
        <v>Foley</v>
      </c>
      <c r="M35">
        <f>MATCH(A35,league_players!A:A,0)</f>
        <v>219</v>
      </c>
    </row>
    <row r="36" spans="1:13" x14ac:dyDescent="0.2">
      <c r="A36" t="s">
        <v>87</v>
      </c>
      <c r="B36">
        <v>28</v>
      </c>
      <c r="C36">
        <v>27</v>
      </c>
      <c r="D36">
        <v>127</v>
      </c>
      <c r="E36">
        <v>99</v>
      </c>
      <c r="F36">
        <v>0</v>
      </c>
      <c r="G36">
        <v>28</v>
      </c>
      <c r="H36">
        <v>5</v>
      </c>
      <c r="I36" t="s">
        <v>486</v>
      </c>
      <c r="J36" s="1">
        <v>45443</v>
      </c>
      <c r="K36" t="str">
        <f>INDEX(league_players!C:C,MATCH(may!A36,league_players!A:A,0))</f>
        <v>Christine</v>
      </c>
      <c r="L36" t="str">
        <f>INDEX(league_players!D:D,MATCH(may!A36,league_players!A:A,0))</f>
        <v>Yoong</v>
      </c>
      <c r="M36">
        <f>MATCH(A36,league_players!A:A,0)</f>
        <v>46</v>
      </c>
    </row>
    <row r="37" spans="1:13" x14ac:dyDescent="0.2">
      <c r="A37" t="s">
        <v>666</v>
      </c>
      <c r="B37" s="12">
        <v>25</v>
      </c>
      <c r="C37">
        <v>27</v>
      </c>
      <c r="D37">
        <v>124</v>
      </c>
      <c r="E37">
        <v>99</v>
      </c>
      <c r="F37">
        <v>0</v>
      </c>
      <c r="G37">
        <v>25</v>
      </c>
      <c r="H37">
        <v>5</v>
      </c>
      <c r="I37" t="s">
        <v>487</v>
      </c>
      <c r="J37" s="1">
        <v>45443</v>
      </c>
      <c r="K37" t="str">
        <f>INDEX(league_players!C:C,MATCH(may!A37,league_players!A:A,0))</f>
        <v>Frits</v>
      </c>
      <c r="L37" t="str">
        <f>INDEX(league_players!D:D,MATCH(may!A37,league_players!A:A,0))</f>
        <v>Schoite</v>
      </c>
      <c r="M37">
        <f>MATCH(A37,league_players!A:A,0)</f>
        <v>220</v>
      </c>
    </row>
    <row r="38" spans="1:13" x14ac:dyDescent="0.2">
      <c r="A38" t="s">
        <v>365</v>
      </c>
      <c r="B38">
        <v>25</v>
      </c>
      <c r="C38">
        <v>34</v>
      </c>
      <c r="D38">
        <v>131</v>
      </c>
      <c r="E38">
        <v>106</v>
      </c>
      <c r="F38">
        <v>0</v>
      </c>
      <c r="G38">
        <v>25</v>
      </c>
      <c r="H38">
        <v>5</v>
      </c>
      <c r="I38" t="s">
        <v>486</v>
      </c>
      <c r="J38" s="1">
        <v>45443</v>
      </c>
      <c r="K38" t="str">
        <f>INDEX(league_players!C:C,MATCH(may!A38,league_players!A:A,0))</f>
        <v>Steve</v>
      </c>
      <c r="L38" t="str">
        <f>INDEX(league_players!D:D,MATCH(may!A38,league_players!A:A,0))</f>
        <v>Masternak</v>
      </c>
      <c r="M38">
        <f>MATCH(A38,league_players!A:A,0)</f>
        <v>190</v>
      </c>
    </row>
    <row r="39" spans="1:13" x14ac:dyDescent="0.2">
      <c r="A39" t="s">
        <v>667</v>
      </c>
      <c r="B39" s="12">
        <v>10</v>
      </c>
      <c r="C39">
        <v>49</v>
      </c>
      <c r="D39">
        <v>131</v>
      </c>
      <c r="E39">
        <v>121</v>
      </c>
      <c r="F39">
        <v>1</v>
      </c>
      <c r="G39">
        <v>11</v>
      </c>
      <c r="H39">
        <v>5</v>
      </c>
      <c r="I39" t="s">
        <v>487</v>
      </c>
      <c r="J39" s="1">
        <v>45443</v>
      </c>
      <c r="K39" t="str">
        <f>INDEX(league_players!C:C,MATCH(may!A39,league_players!A:A,0))</f>
        <v>Joseph</v>
      </c>
      <c r="L39" t="str">
        <f>INDEX(league_players!D:D,MATCH(may!A39,league_players!A:A,0))</f>
        <v>Duronio</v>
      </c>
      <c r="M39">
        <f>MATCH(A39,league_players!A:A,0)</f>
        <v>221</v>
      </c>
    </row>
  </sheetData>
  <autoFilter ref="A1:J39" xr:uid="{DE78C9B1-F2B2-B944-A738-1303677B60CE}"/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DAD5-0C79-C045-81E3-EE79D64654AC}">
  <dimension ref="A1:M19"/>
  <sheetViews>
    <sheetView tabSelected="1" workbookViewId="0">
      <selection activeCell="J18" sqref="J18"/>
    </sheetView>
  </sheetViews>
  <sheetFormatPr baseColWidth="10" defaultRowHeight="16" x14ac:dyDescent="0.2"/>
  <cols>
    <col min="1" max="1" width="22.5" bestFit="1" customWidth="1"/>
  </cols>
  <sheetData>
    <row r="1" spans="1:13" x14ac:dyDescent="0.2">
      <c r="A1" s="9" t="s">
        <v>0</v>
      </c>
      <c r="B1" s="9" t="s">
        <v>478</v>
      </c>
      <c r="C1" s="9" t="s">
        <v>479</v>
      </c>
      <c r="D1" s="9" t="s">
        <v>480</v>
      </c>
      <c r="E1" s="9" t="s">
        <v>481</v>
      </c>
      <c r="F1" s="9" t="s">
        <v>482</v>
      </c>
      <c r="G1" s="9" t="s">
        <v>483</v>
      </c>
      <c r="H1" s="9" t="s">
        <v>484</v>
      </c>
      <c r="I1" s="9" t="s">
        <v>485</v>
      </c>
      <c r="J1" s="9" t="s">
        <v>658</v>
      </c>
      <c r="K1" s="9" t="s">
        <v>668</v>
      </c>
      <c r="L1" s="9" t="s">
        <v>669</v>
      </c>
    </row>
    <row r="2" spans="1:13" ht="18" x14ac:dyDescent="0.2">
      <c r="A2" s="10" t="s">
        <v>172</v>
      </c>
      <c r="B2" t="e">
        <f>INDEX('[1]2024 Cocunut'!B:B,MATCH(A2,'[1]2024 Cocunut'!A:A,0))</f>
        <v>#N/A</v>
      </c>
      <c r="C2">
        <v>-8</v>
      </c>
      <c r="D2" s="11">
        <v>64</v>
      </c>
      <c r="E2">
        <v>89</v>
      </c>
      <c r="F2">
        <v>-4</v>
      </c>
      <c r="G2">
        <v>21</v>
      </c>
      <c r="H2">
        <v>100</v>
      </c>
      <c r="I2" t="s">
        <v>486</v>
      </c>
      <c r="J2" s="1">
        <v>45408</v>
      </c>
      <c r="K2" t="s">
        <v>570</v>
      </c>
      <c r="L2" t="s">
        <v>173</v>
      </c>
      <c r="M2">
        <f>MATCH(A2,league_players!A:A,0)</f>
        <v>91</v>
      </c>
    </row>
    <row r="3" spans="1:13" ht="18" x14ac:dyDescent="0.2">
      <c r="A3" s="10" t="s">
        <v>126</v>
      </c>
      <c r="B3" t="e">
        <f>INDEX('[1]2024 Cocunut'!B:B,MATCH(A3,'[1]2024 Cocunut'!A:A,0))</f>
        <v>#N/A</v>
      </c>
      <c r="C3">
        <v>-1</v>
      </c>
      <c r="D3" s="11">
        <v>71</v>
      </c>
      <c r="E3">
        <v>88</v>
      </c>
      <c r="F3">
        <v>-0.5</v>
      </c>
      <c r="G3">
        <v>16</v>
      </c>
      <c r="H3">
        <v>90</v>
      </c>
      <c r="I3" t="s">
        <v>486</v>
      </c>
      <c r="J3" s="1">
        <v>45408</v>
      </c>
      <c r="K3" t="s">
        <v>551</v>
      </c>
      <c r="L3" t="s">
        <v>127</v>
      </c>
      <c r="M3">
        <f>MATCH(A3,league_players!A:A,0)</f>
        <v>66</v>
      </c>
    </row>
    <row r="4" spans="1:13" ht="18" x14ac:dyDescent="0.2">
      <c r="A4" s="10" t="s">
        <v>165</v>
      </c>
      <c r="B4" t="e">
        <f>INDEX('[1]2024 Cocunut'!B:B,MATCH(A4,'[1]2024 Cocunut'!A:A,0))</f>
        <v>#N/A</v>
      </c>
      <c r="C4">
        <v>0</v>
      </c>
      <c r="D4" s="11">
        <v>72</v>
      </c>
      <c r="E4">
        <v>76</v>
      </c>
      <c r="F4">
        <v>0</v>
      </c>
      <c r="G4">
        <v>4</v>
      </c>
      <c r="H4">
        <v>80</v>
      </c>
      <c r="I4" t="s">
        <v>486</v>
      </c>
      <c r="J4" s="1">
        <v>45408</v>
      </c>
      <c r="K4" t="s">
        <v>567</v>
      </c>
      <c r="L4" t="s">
        <v>166</v>
      </c>
      <c r="M4">
        <f>MATCH(A4,league_players!A:A,0)</f>
        <v>87</v>
      </c>
    </row>
    <row r="5" spans="1:13" ht="18" x14ac:dyDescent="0.2">
      <c r="A5" s="10" t="s">
        <v>182</v>
      </c>
      <c r="B5" t="e">
        <f>INDEX('[1]2024 Cocunut'!B:B,MATCH(A5,'[1]2024 Cocunut'!A:A,0))</f>
        <v>#N/A</v>
      </c>
      <c r="C5">
        <v>1</v>
      </c>
      <c r="D5" s="11">
        <v>73</v>
      </c>
      <c r="E5">
        <v>97</v>
      </c>
      <c r="F5">
        <v>1</v>
      </c>
      <c r="G5">
        <v>24.5</v>
      </c>
      <c r="H5">
        <v>70</v>
      </c>
      <c r="I5" t="s">
        <v>486</v>
      </c>
      <c r="J5" s="1">
        <v>45408</v>
      </c>
      <c r="K5" t="s">
        <v>573</v>
      </c>
      <c r="L5" t="s">
        <v>183</v>
      </c>
      <c r="M5">
        <f>MATCH(A5,league_players!A:A,0)</f>
        <v>96</v>
      </c>
    </row>
    <row r="6" spans="1:13" ht="18" x14ac:dyDescent="0.2">
      <c r="A6" s="10" t="s">
        <v>128</v>
      </c>
      <c r="B6" t="e">
        <f>INDEX('[1]2024 Cocunut'!B:B,MATCH(A6,'[1]2024 Cocunut'!A:A,0))</f>
        <v>#N/A</v>
      </c>
      <c r="C6">
        <v>3</v>
      </c>
      <c r="D6" s="11">
        <v>75</v>
      </c>
      <c r="E6">
        <v>89</v>
      </c>
      <c r="F6">
        <v>1</v>
      </c>
      <c r="G6">
        <v>15</v>
      </c>
      <c r="H6">
        <v>55</v>
      </c>
      <c r="I6" t="s">
        <v>486</v>
      </c>
      <c r="J6" s="1">
        <v>45408</v>
      </c>
      <c r="K6" t="s">
        <v>552</v>
      </c>
      <c r="L6" t="s">
        <v>129</v>
      </c>
      <c r="M6">
        <f>MATCH(A6,league_players!A:A,0)</f>
        <v>67</v>
      </c>
    </row>
    <row r="7" spans="1:13" ht="18" x14ac:dyDescent="0.2">
      <c r="A7" s="10" t="s">
        <v>294</v>
      </c>
      <c r="B7" t="e">
        <f>INDEX('[1]2024 Cocunut'!B:B,MATCH(A7,'[1]2024 Cocunut'!A:A,0))</f>
        <v>#N/A</v>
      </c>
      <c r="C7">
        <v>3</v>
      </c>
      <c r="D7" s="11">
        <v>75</v>
      </c>
      <c r="E7">
        <v>97</v>
      </c>
      <c r="F7">
        <v>1</v>
      </c>
      <c r="G7">
        <v>23</v>
      </c>
      <c r="H7">
        <v>55</v>
      </c>
      <c r="I7" t="s">
        <v>486</v>
      </c>
      <c r="J7" s="1">
        <v>45408</v>
      </c>
      <c r="K7" t="s">
        <v>620</v>
      </c>
      <c r="L7" t="s">
        <v>295</v>
      </c>
      <c r="M7">
        <f>MATCH(A7,league_players!A:A,0)</f>
        <v>154</v>
      </c>
    </row>
    <row r="8" spans="1:13" ht="18" x14ac:dyDescent="0.2">
      <c r="A8" s="10" t="s">
        <v>190</v>
      </c>
      <c r="B8" t="e">
        <f>INDEX('[1]2024 Cocunut'!B:B,MATCH(A8,'[1]2024 Cocunut'!A:A,0))</f>
        <v>#N/A</v>
      </c>
      <c r="C8">
        <v>4</v>
      </c>
      <c r="D8" s="11">
        <v>76</v>
      </c>
      <c r="E8">
        <v>101</v>
      </c>
      <c r="F8">
        <v>0</v>
      </c>
      <c r="G8">
        <v>25</v>
      </c>
      <c r="H8">
        <v>40</v>
      </c>
      <c r="I8" t="s">
        <v>486</v>
      </c>
      <c r="J8" s="1">
        <v>45408</v>
      </c>
      <c r="K8" t="s">
        <v>576</v>
      </c>
      <c r="L8" t="s">
        <v>191</v>
      </c>
      <c r="M8">
        <f>MATCH(A8,league_players!A:A,0)</f>
        <v>100</v>
      </c>
    </row>
    <row r="9" spans="1:13" ht="18" x14ac:dyDescent="0.2">
      <c r="A9" s="10" t="s">
        <v>657</v>
      </c>
      <c r="B9" t="e">
        <f>INDEX('[1]2024 Cocunut'!B:B,MATCH(A9,'[1]2024 Cocunut'!A:A,0))</f>
        <v>#N/A</v>
      </c>
      <c r="C9">
        <v>6</v>
      </c>
      <c r="D9" s="11">
        <v>78</v>
      </c>
      <c r="E9">
        <v>94</v>
      </c>
      <c r="F9">
        <v>1</v>
      </c>
      <c r="G9">
        <v>17</v>
      </c>
      <c r="H9">
        <v>25</v>
      </c>
      <c r="I9" t="s">
        <v>486</v>
      </c>
      <c r="J9" s="1">
        <v>45408</v>
      </c>
      <c r="K9" t="s">
        <v>589</v>
      </c>
      <c r="L9" t="s">
        <v>221</v>
      </c>
      <c r="M9">
        <f>MATCH(A9,league_players!A:A,0)</f>
        <v>116</v>
      </c>
    </row>
    <row r="10" spans="1:13" ht="18" x14ac:dyDescent="0.2">
      <c r="A10" s="10" t="s">
        <v>316</v>
      </c>
      <c r="B10" t="e">
        <f>INDEX('[1]2024 Cocunut'!B:B,MATCH(A10,'[1]2024 Cocunut'!A:A,0))</f>
        <v>#N/A</v>
      </c>
      <c r="C10">
        <v>6</v>
      </c>
      <c r="D10" s="11">
        <v>78</v>
      </c>
      <c r="E10">
        <v>98</v>
      </c>
      <c r="F10">
        <v>1</v>
      </c>
      <c r="G10">
        <v>21</v>
      </c>
      <c r="H10">
        <v>25</v>
      </c>
      <c r="I10" t="s">
        <v>486</v>
      </c>
      <c r="J10" s="1">
        <v>45408</v>
      </c>
      <c r="K10" t="s">
        <v>628</v>
      </c>
      <c r="L10" t="s">
        <v>317</v>
      </c>
      <c r="M10">
        <f>MATCH(A10,league_players!A:A,0)</f>
        <v>165</v>
      </c>
    </row>
    <row r="11" spans="1:13" ht="18" x14ac:dyDescent="0.2">
      <c r="A11" s="10" t="s">
        <v>298</v>
      </c>
      <c r="B11" t="e">
        <f>INDEX('[1]2024 Cocunut'!B:B,MATCH(A11,'[1]2024 Cocunut'!A:A,0))</f>
        <v>#N/A</v>
      </c>
      <c r="C11">
        <v>8</v>
      </c>
      <c r="D11" s="11">
        <v>80</v>
      </c>
      <c r="E11">
        <v>103</v>
      </c>
      <c r="F11">
        <v>1</v>
      </c>
      <c r="G11">
        <v>24</v>
      </c>
      <c r="H11">
        <v>5</v>
      </c>
      <c r="I11" t="s">
        <v>486</v>
      </c>
      <c r="J11" s="1">
        <v>45408</v>
      </c>
      <c r="K11" t="s">
        <v>620</v>
      </c>
      <c r="L11" t="s">
        <v>299</v>
      </c>
      <c r="M11">
        <f>MATCH(A11,league_players!A:A,0)</f>
        <v>156</v>
      </c>
    </row>
    <row r="12" spans="1:13" ht="18" x14ac:dyDescent="0.2">
      <c r="A12" s="10" t="s">
        <v>197</v>
      </c>
      <c r="B12" t="e">
        <f>INDEX('[1]2024 Cocunut'!B:B,MATCH(A12,'[1]2024 Cocunut'!A:A,0))</f>
        <v>#N/A</v>
      </c>
      <c r="C12">
        <v>8</v>
      </c>
      <c r="D12" s="11">
        <v>80</v>
      </c>
      <c r="E12">
        <v>105</v>
      </c>
      <c r="F12">
        <v>0</v>
      </c>
      <c r="G12">
        <v>25</v>
      </c>
      <c r="H12">
        <v>5</v>
      </c>
      <c r="I12" t="s">
        <v>486</v>
      </c>
      <c r="J12" s="1">
        <v>45408</v>
      </c>
      <c r="K12" t="s">
        <v>579</v>
      </c>
      <c r="L12" t="s">
        <v>198</v>
      </c>
      <c r="M12">
        <f>MATCH(A12,league_players!A:A,0)</f>
        <v>104</v>
      </c>
    </row>
    <row r="13" spans="1:13" ht="18" x14ac:dyDescent="0.2">
      <c r="A13" s="10" t="s">
        <v>400</v>
      </c>
      <c r="B13" t="e">
        <f>INDEX('[1]2024 Cocunut'!B:B,MATCH(A13,'[1]2024 Cocunut'!A:A,0))</f>
        <v>#N/A</v>
      </c>
      <c r="C13">
        <v>16</v>
      </c>
      <c r="D13" s="11">
        <v>88</v>
      </c>
      <c r="E13">
        <v>109</v>
      </c>
      <c r="F13">
        <v>1</v>
      </c>
      <c r="G13">
        <v>22</v>
      </c>
      <c r="H13">
        <v>5</v>
      </c>
      <c r="I13" t="s">
        <v>486</v>
      </c>
      <c r="J13" s="1">
        <v>45408</v>
      </c>
      <c r="K13" t="s">
        <v>653</v>
      </c>
      <c r="L13" t="s">
        <v>401</v>
      </c>
      <c r="M13">
        <f>MATCH(A13,league_players!A:A,0)</f>
        <v>208</v>
      </c>
    </row>
    <row r="14" spans="1:13" ht="18" x14ac:dyDescent="0.2">
      <c r="A14" s="10" t="s">
        <v>180</v>
      </c>
      <c r="B14">
        <v>20</v>
      </c>
      <c r="C14">
        <v>1</v>
      </c>
      <c r="D14" s="11">
        <v>73</v>
      </c>
      <c r="E14">
        <v>93</v>
      </c>
      <c r="F14">
        <v>1</v>
      </c>
      <c r="G14">
        <v>21</v>
      </c>
      <c r="H14">
        <v>5</v>
      </c>
      <c r="I14" t="s">
        <v>487</v>
      </c>
      <c r="J14" s="1">
        <v>45408</v>
      </c>
      <c r="K14" t="s">
        <v>572</v>
      </c>
      <c r="L14" t="s">
        <v>181</v>
      </c>
      <c r="M14">
        <f>MATCH(A14,league_players!A:A,0)</f>
        <v>95</v>
      </c>
    </row>
    <row r="15" spans="1:13" ht="18" x14ac:dyDescent="0.2">
      <c r="A15" s="10" t="s">
        <v>112</v>
      </c>
      <c r="B15">
        <v>20</v>
      </c>
      <c r="C15">
        <v>2</v>
      </c>
      <c r="D15" s="11">
        <v>74</v>
      </c>
      <c r="E15">
        <v>94</v>
      </c>
      <c r="F15">
        <v>1</v>
      </c>
      <c r="G15">
        <v>21</v>
      </c>
      <c r="H15">
        <v>5</v>
      </c>
      <c r="I15" t="s">
        <v>487</v>
      </c>
      <c r="J15" s="1">
        <v>45408</v>
      </c>
      <c r="K15" t="s">
        <v>544</v>
      </c>
      <c r="L15" t="s">
        <v>113</v>
      </c>
      <c r="M15">
        <f>MATCH(A15,league_players!A:A,0)</f>
        <v>59</v>
      </c>
    </row>
    <row r="16" spans="1:13" ht="18" x14ac:dyDescent="0.2">
      <c r="A16" s="10" t="s">
        <v>9</v>
      </c>
      <c r="B16">
        <v>25</v>
      </c>
      <c r="C16">
        <v>2</v>
      </c>
      <c r="D16" s="11">
        <v>74</v>
      </c>
      <c r="E16">
        <v>99</v>
      </c>
      <c r="F16">
        <v>0</v>
      </c>
      <c r="G16">
        <v>25</v>
      </c>
      <c r="H16">
        <v>5</v>
      </c>
      <c r="I16" t="s">
        <v>487</v>
      </c>
      <c r="J16" s="1">
        <v>45408</v>
      </c>
      <c r="K16" t="s">
        <v>509</v>
      </c>
      <c r="L16" t="s">
        <v>8</v>
      </c>
      <c r="M16">
        <f>MATCH(A16,league_players!A:A,0)</f>
        <v>5</v>
      </c>
    </row>
    <row r="17" spans="1:13" ht="18" x14ac:dyDescent="0.2">
      <c r="A17" s="10" t="s">
        <v>71</v>
      </c>
      <c r="B17">
        <v>18</v>
      </c>
      <c r="C17">
        <v>7</v>
      </c>
      <c r="D17" s="11">
        <v>79</v>
      </c>
      <c r="E17">
        <v>97</v>
      </c>
      <c r="F17">
        <v>1</v>
      </c>
      <c r="G17">
        <v>19</v>
      </c>
      <c r="H17">
        <v>10</v>
      </c>
      <c r="I17" t="s">
        <v>487</v>
      </c>
      <c r="J17" s="1">
        <v>45408</v>
      </c>
      <c r="K17" t="s">
        <v>534</v>
      </c>
      <c r="L17" t="s">
        <v>72</v>
      </c>
      <c r="M17">
        <f>MATCH(A17,league_players!A:A,0)</f>
        <v>38</v>
      </c>
    </row>
    <row r="18" spans="1:13" ht="18" x14ac:dyDescent="0.2">
      <c r="A18" s="10" t="s">
        <v>118</v>
      </c>
      <c r="B18">
        <v>15</v>
      </c>
      <c r="C18">
        <v>10</v>
      </c>
      <c r="D18" s="11">
        <v>82</v>
      </c>
      <c r="E18">
        <v>97</v>
      </c>
      <c r="F18">
        <v>1</v>
      </c>
      <c r="G18">
        <v>16</v>
      </c>
      <c r="H18">
        <v>5</v>
      </c>
      <c r="I18" t="s">
        <v>487</v>
      </c>
      <c r="J18" s="1">
        <v>45408</v>
      </c>
      <c r="K18" t="s">
        <v>547</v>
      </c>
      <c r="L18" t="s">
        <v>119</v>
      </c>
      <c r="M18">
        <f>MATCH(A18,league_players!A:A,0)</f>
        <v>62</v>
      </c>
    </row>
    <row r="19" spans="1:13" s="12" customFormat="1" ht="18" x14ac:dyDescent="0.2">
      <c r="A19" s="13" t="s">
        <v>192</v>
      </c>
      <c r="B19" s="12">
        <v>20</v>
      </c>
      <c r="C19" s="12">
        <v>13</v>
      </c>
      <c r="D19" s="12">
        <v>85</v>
      </c>
      <c r="E19" s="12">
        <v>105</v>
      </c>
      <c r="F19" s="12">
        <v>1</v>
      </c>
      <c r="G19" s="12">
        <v>21</v>
      </c>
      <c r="H19" s="12">
        <v>5</v>
      </c>
      <c r="I19" s="12" t="s">
        <v>487</v>
      </c>
      <c r="J19" s="14">
        <v>45408</v>
      </c>
      <c r="K19" t="s">
        <v>577</v>
      </c>
      <c r="L19" t="s">
        <v>193</v>
      </c>
      <c r="M19" s="12">
        <f>MATCH(A19,league_players!A:A,0)</f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</vt:lpstr>
      <vt:lpstr>Steps</vt:lpstr>
      <vt:lpstr>league_seasons</vt:lpstr>
      <vt:lpstr>league_events</vt:lpstr>
      <vt:lpstr>league_players</vt:lpstr>
      <vt:lpstr>initial_handicaps</vt:lpstr>
      <vt:lpstr>EventPlayer</vt:lpstr>
      <vt:lpstr>Played_Round</vt:lpstr>
      <vt:lpstr>may</vt:lpstr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Springett</dc:creator>
  <cp:lastModifiedBy>Robert Ankers Springett</cp:lastModifiedBy>
  <dcterms:created xsi:type="dcterms:W3CDTF">2024-06-20T03:11:41Z</dcterms:created>
  <dcterms:modified xsi:type="dcterms:W3CDTF">2024-07-23T13:20:40Z</dcterms:modified>
</cp:coreProperties>
</file>